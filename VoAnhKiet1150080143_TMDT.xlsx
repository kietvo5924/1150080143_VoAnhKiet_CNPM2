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BaiTapBuoi11\1150080143_VoAnhKiet_CNPM2\"/>
    </mc:Choice>
  </mc:AlternateContent>
  <xr:revisionPtr revIDLastSave="0" documentId="13_ncr:1_{332F4CAB-C115-47F0-8811-5CE900153DB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PV" sheetId="1" r:id="rId1"/>
    <sheet name="ROI" sheetId="2" r:id="rId2"/>
    <sheet name="Payback" sheetId="3" r:id="rId3"/>
    <sheet name="Bài 4" sheetId="4" r:id="rId4"/>
    <sheet name="Bà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F4" i="3"/>
  <c r="F5" i="3"/>
  <c r="F3" i="3"/>
  <c r="E4" i="3"/>
  <c r="E5" i="3"/>
  <c r="E3" i="3"/>
  <c r="F2" i="3"/>
  <c r="E2" i="3"/>
  <c r="B15" i="2"/>
  <c r="F12" i="2"/>
  <c r="D13" i="2"/>
  <c r="E13" i="2"/>
  <c r="C13" i="2"/>
  <c r="B13" i="2"/>
  <c r="C12" i="2"/>
  <c r="D12" i="2"/>
  <c r="E12" i="2"/>
  <c r="B12" i="2"/>
  <c r="F10" i="2"/>
  <c r="C10" i="2"/>
  <c r="D10" i="2"/>
  <c r="E10" i="2"/>
  <c r="B10" i="2"/>
  <c r="D6" i="2"/>
  <c r="F6" i="2" s="1"/>
  <c r="E6" i="2"/>
  <c r="C6" i="2"/>
  <c r="B6" i="2"/>
  <c r="B7" i="1"/>
</calcChain>
</file>

<file path=xl/sharedStrings.xml><?xml version="1.0" encoding="utf-8"?>
<sst xmlns="http://schemas.openxmlformats.org/spreadsheetml/2006/main" count="80" uniqueCount="71">
  <si>
    <t>NPV</t>
  </si>
  <si>
    <t>Tỷ lệ chiết khấu</t>
  </si>
  <si>
    <t>NĂM 1</t>
  </si>
  <si>
    <t>NĂM 2</t>
  </si>
  <si>
    <t>NĂM 3</t>
  </si>
  <si>
    <t>NĂM 4</t>
  </si>
  <si>
    <t>NĂM 5</t>
  </si>
  <si>
    <t>Lợi ích</t>
  </si>
  <si>
    <t>Chi phí</t>
  </si>
  <si>
    <t>Dòng tiền</t>
  </si>
  <si>
    <t>Dự án TMĐT</t>
  </si>
  <si>
    <t>Hệ số chiết khấu</t>
  </si>
  <si>
    <t>Chi phí đã chiết khấu</t>
  </si>
  <si>
    <t>Lợi ích đã chiết khấu</t>
  </si>
  <si>
    <t>Lợi ích - Chi phí (đã CK)</t>
  </si>
  <si>
    <t>Lợi ích - Chi phí (tích lũy)</t>
  </si>
  <si>
    <t>ROI</t>
  </si>
  <si>
    <t>Năm</t>
  </si>
  <si>
    <t>Tổng</t>
  </si>
  <si>
    <t>Chi phí Tích lũy</t>
  </si>
  <si>
    <t>Lợi ích Tích lũy</t>
  </si>
  <si>
    <t>BCWS</t>
  </si>
  <si>
    <t>BCWP</t>
  </si>
  <si>
    <t>ACWP</t>
  </si>
  <si>
    <t>BAC</t>
  </si>
  <si>
    <t>TÍNH TOÁN &amp; PHÂN TÍCH (Bài 4)</t>
  </si>
  <si>
    <t>Hạng mục</t>
  </si>
  <si>
    <t>1. CV (Chênh lệch chi phí)</t>
  </si>
  <si>
    <t>1. SV (Chênh lệch tiến độ)</t>
  </si>
  <si>
    <t>1. CPI (Hiệu suất chi phí)</t>
  </si>
  <si>
    <t>4. SPI (Hiệu suất tiến độ)</t>
  </si>
  <si>
    <t>KẾT LUẬN</t>
  </si>
  <si>
    <t>2. Ngân sách? (CV &lt; 0)</t>
  </si>
  <si>
    <t>VƯỢT NGÂN SÁCH</t>
  </si>
  <si>
    <t>2. Lịch biểu? (SV &lt; 0)</t>
  </si>
  <si>
    <t>CHẬM TIẾN ĐỘ</t>
  </si>
  <si>
    <t>3. Hiệu suất (CPI)? (CPI &lt; 1)</t>
  </si>
  <si>
    <t>XẤU (1đ chi = 0.8đ thu)</t>
  </si>
  <si>
    <t>4. Ước lượng TG hoàn thành</t>
  </si>
  <si>
    <t>Thời gian theo tháng</t>
  </si>
  <si>
    <t>Tóm tắt:</t>
  </si>
  <si>
    <t>Kết quả</t>
  </si>
  <si>
    <t>Tổng số công việc (CV)</t>
  </si>
  <si>
    <t>Tổng thời gian (tuần)</t>
  </si>
  <si>
    <t>Chi phí KH / 1 CV (BAC/CV)</t>
  </si>
  <si>
    <t>(Đơn vị: $)</t>
  </si>
  <si>
    <t>Kế hoạch (CV/tuần)</t>
  </si>
  <si>
    <t>Thời điểm đánh giá (tuần)</t>
  </si>
  <si>
    <t>TÍNH TOÁN CƠ SỞ (EVM)</t>
  </si>
  <si>
    <t>% Hoàn thành</t>
  </si>
  <si>
    <t>ACWP (Chi phí thực tế)</t>
  </si>
  <si>
    <t>Chi phí CV 1 (thực tế)</t>
  </si>
  <si>
    <t>Chi phí CV 2 (thực tế)</t>
  </si>
  <si>
    <t>Chi phí CV 3 (thực tế)</t>
  </si>
  <si>
    <t>Tổng ACWP</t>
  </si>
  <si>
    <t>BCWP (Giá trị kiếm được)</t>
  </si>
  <si>
    <t>Giá trị CV 1</t>
  </si>
  <si>
    <t>Giá trị CV 2</t>
  </si>
  <si>
    <t>Giá trị CV 3</t>
  </si>
  <si>
    <t>Tổng BCWP</t>
  </si>
  <si>
    <t>BCWS (Giá trị kế hoạch)</t>
  </si>
  <si>
    <t>Số CV theo kế hoạch (tại Tuần 2)</t>
  </si>
  <si>
    <t>Tổng BCWS</t>
  </si>
  <si>
    <t>1. CPI (Hiệu quả vốn)</t>
  </si>
  <si>
    <t>2. SPI (Độ tin cậy KH)</t>
  </si>
  <si>
    <t>Tình trạng Ngân sách (CPI &lt; 1)</t>
  </si>
  <si>
    <t>XẤU (Vượt ngân sách)</t>
  </si>
  <si>
    <t>Tình trạng Tiến độ (SPI &lt; 1)</t>
  </si>
  <si>
    <t>CHẬM (Trễ tiến độ)</t>
  </si>
  <si>
    <t>TÓM TẮT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</si>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</sst>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\ [$₫-42A]_-;\-* #,##0.00\ [$₫-42A]_-;_-* &quot;-&quot;??\ [$₫-42A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wrapText="1"/>
    </xf>
    <xf numFmtId="9" fontId="2" fillId="0" borderId="0" xfId="0" applyNumberFormat="1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3" fontId="2" fillId="0" borderId="0" xfId="0" applyNumberFormat="1" applyFont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Border="1" applyAlignment="1">
      <alignment vertical="center"/>
    </xf>
    <xf numFmtId="168" fontId="2" fillId="0" borderId="0" xfId="0" applyNumberFormat="1" applyFont="1" applyBorder="1" applyAlignment="1">
      <alignment wrapText="1"/>
    </xf>
    <xf numFmtId="168" fontId="2" fillId="0" borderId="0" xfId="0" applyNumberFormat="1" applyFont="1" applyBorder="1" applyAlignment="1">
      <alignment horizontal="right" wrapText="1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9" fontId="2" fillId="0" borderId="0" xfId="1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9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5" sqref="C15"/>
    </sheetView>
  </sheetViews>
  <sheetFormatPr defaultRowHeight="14.4" x14ac:dyDescent="0.3"/>
  <cols>
    <col min="1" max="1" width="14.6640625" customWidth="1"/>
    <col min="2" max="2" width="16.33203125" customWidth="1"/>
    <col min="3" max="3" width="12.77734375" customWidth="1"/>
    <col min="4" max="4" width="14.5546875" customWidth="1"/>
    <col min="5" max="6" width="14.44140625" bestFit="1" customWidth="1"/>
  </cols>
  <sheetData>
    <row r="1" spans="1:7" x14ac:dyDescent="0.3">
      <c r="A1" s="1" t="s">
        <v>1</v>
      </c>
      <c r="B1" s="2">
        <v>0.1</v>
      </c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x14ac:dyDescent="0.3">
      <c r="A3" s="1" t="s">
        <v>10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5"/>
    </row>
    <row r="4" spans="1:7" x14ac:dyDescent="0.3">
      <c r="A4" s="1" t="s">
        <v>7</v>
      </c>
      <c r="B4" s="8">
        <v>0</v>
      </c>
      <c r="C4" s="8">
        <v>500000</v>
      </c>
      <c r="D4" s="8">
        <v>1000000</v>
      </c>
      <c r="E4" s="8">
        <v>1500000</v>
      </c>
      <c r="F4" s="8">
        <v>2000000</v>
      </c>
    </row>
    <row r="5" spans="1:7" x14ac:dyDescent="0.3">
      <c r="A5" s="1" t="s">
        <v>8</v>
      </c>
      <c r="B5" s="8">
        <v>792000</v>
      </c>
      <c r="C5" s="8">
        <v>200000</v>
      </c>
      <c r="D5" s="8">
        <v>200000</v>
      </c>
      <c r="E5" s="8">
        <v>200000</v>
      </c>
      <c r="F5" s="8">
        <v>200000</v>
      </c>
    </row>
    <row r="6" spans="1:7" x14ac:dyDescent="0.3">
      <c r="A6" s="1" t="s">
        <v>9</v>
      </c>
      <c r="B6" s="8">
        <v>-792000</v>
      </c>
      <c r="C6" s="8">
        <v>300000</v>
      </c>
      <c r="D6" s="8">
        <v>800000</v>
      </c>
      <c r="E6" s="8">
        <v>1300000</v>
      </c>
      <c r="F6" s="8">
        <v>1800000</v>
      </c>
    </row>
    <row r="7" spans="1:7" x14ac:dyDescent="0.3">
      <c r="A7" s="1" t="s">
        <v>0</v>
      </c>
      <c r="B7" s="8">
        <f>NPV(B1, B6:F6)</f>
        <v>2134561.5984998532</v>
      </c>
      <c r="C7" s="7"/>
      <c r="D7" s="7"/>
      <c r="E7" s="7"/>
      <c r="F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9F7D-DE77-4693-B29F-B6E8713472E2}">
  <dimension ref="A1:F15"/>
  <sheetViews>
    <sheetView workbookViewId="0">
      <selection activeCell="H14" sqref="H14"/>
    </sheetView>
  </sheetViews>
  <sheetFormatPr defaultRowHeight="14.4" x14ac:dyDescent="0.3"/>
  <cols>
    <col min="1" max="1" width="18.6640625" style="9" customWidth="1"/>
    <col min="2" max="2" width="8.88671875" style="9"/>
    <col min="3" max="3" width="9.88671875" style="9" customWidth="1"/>
    <col min="4" max="4" width="10.77734375" style="9" customWidth="1"/>
    <col min="5" max="16384" width="8.88671875" style="9"/>
  </cols>
  <sheetData>
    <row r="1" spans="1:6" ht="22.2" customHeight="1" x14ac:dyDescent="0.3">
      <c r="A1" s="1" t="s">
        <v>1</v>
      </c>
      <c r="B1" s="2">
        <v>0.08</v>
      </c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 t="s">
        <v>17</v>
      </c>
      <c r="B3" s="3">
        <v>0</v>
      </c>
      <c r="C3" s="3">
        <v>1</v>
      </c>
      <c r="D3" s="3">
        <v>2</v>
      </c>
      <c r="E3" s="3">
        <v>3</v>
      </c>
      <c r="F3" s="1" t="s">
        <v>18</v>
      </c>
    </row>
    <row r="4" spans="1:6" x14ac:dyDescent="0.3">
      <c r="A4" s="1" t="s">
        <v>8</v>
      </c>
      <c r="B4" s="3">
        <v>140000</v>
      </c>
      <c r="C4" s="3">
        <v>40000</v>
      </c>
      <c r="D4" s="3">
        <v>40000</v>
      </c>
      <c r="E4" s="3">
        <v>40000</v>
      </c>
      <c r="F4" s="1"/>
    </row>
    <row r="5" spans="1:6" x14ac:dyDescent="0.3">
      <c r="A5" s="1" t="s">
        <v>11</v>
      </c>
      <c r="B5" s="3">
        <v>1</v>
      </c>
      <c r="C5" s="1">
        <v>0.93</v>
      </c>
      <c r="D5" s="1">
        <v>0.86</v>
      </c>
      <c r="E5" s="1">
        <v>0.79</v>
      </c>
      <c r="F5" s="1"/>
    </row>
    <row r="6" spans="1:6" x14ac:dyDescent="0.3">
      <c r="A6" s="1" t="s">
        <v>12</v>
      </c>
      <c r="B6" s="10">
        <f>B4*B5</f>
        <v>140000</v>
      </c>
      <c r="C6" s="10">
        <f>C4*C5</f>
        <v>37200</v>
      </c>
      <c r="D6" s="10">
        <f t="shared" ref="D6:E6" si="0">D4*D5</f>
        <v>34400</v>
      </c>
      <c r="E6" s="10">
        <f t="shared" si="0"/>
        <v>31600</v>
      </c>
      <c r="F6" s="3">
        <f>SUM(B6:E6)</f>
        <v>243200</v>
      </c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 t="s">
        <v>7</v>
      </c>
      <c r="B8" s="3">
        <v>0</v>
      </c>
      <c r="C8" s="3">
        <v>200000</v>
      </c>
      <c r="D8" s="3">
        <v>200000</v>
      </c>
      <c r="E8" s="3">
        <v>200000</v>
      </c>
      <c r="F8" s="1"/>
    </row>
    <row r="9" spans="1:6" x14ac:dyDescent="0.3">
      <c r="A9" s="1" t="s">
        <v>11</v>
      </c>
      <c r="B9" s="3">
        <v>1</v>
      </c>
      <c r="C9" s="1">
        <v>0.93</v>
      </c>
      <c r="D9" s="1">
        <v>0.86</v>
      </c>
      <c r="E9" s="1">
        <v>0.79</v>
      </c>
      <c r="F9" s="1"/>
    </row>
    <row r="10" spans="1:6" x14ac:dyDescent="0.3">
      <c r="A10" s="1" t="s">
        <v>13</v>
      </c>
      <c r="B10" s="10">
        <f>B8*B9</f>
        <v>0</v>
      </c>
      <c r="C10" s="10">
        <f t="shared" ref="C10:E10" si="1">C8*C9</f>
        <v>186000</v>
      </c>
      <c r="D10" s="10">
        <f t="shared" si="1"/>
        <v>172000</v>
      </c>
      <c r="E10" s="10">
        <f t="shared" si="1"/>
        <v>158000</v>
      </c>
      <c r="F10" s="3">
        <f>SUM(B10:E10)</f>
        <v>516000</v>
      </c>
    </row>
    <row r="11" spans="1:6" x14ac:dyDescent="0.3">
      <c r="A11" s="1"/>
      <c r="B11" s="1"/>
      <c r="C11" s="1"/>
      <c r="D11" s="1"/>
      <c r="E11" s="1"/>
      <c r="F11" s="1"/>
    </row>
    <row r="12" spans="1:6" ht="27" x14ac:dyDescent="0.3">
      <c r="A12" s="1" t="s">
        <v>14</v>
      </c>
      <c r="B12" s="10">
        <f>B10-B6</f>
        <v>-140000</v>
      </c>
      <c r="C12" s="10">
        <f t="shared" ref="C12:F12" si="2">C10-C6</f>
        <v>148800</v>
      </c>
      <c r="D12" s="10">
        <f t="shared" si="2"/>
        <v>137600</v>
      </c>
      <c r="E12" s="10">
        <f t="shared" si="2"/>
        <v>126400</v>
      </c>
      <c r="F12" s="10">
        <f>F10-F6</f>
        <v>272800</v>
      </c>
    </row>
    <row r="13" spans="1:6" ht="27" x14ac:dyDescent="0.3">
      <c r="A13" s="1" t="s">
        <v>15</v>
      </c>
      <c r="B13" s="1">
        <f>B12</f>
        <v>-140000</v>
      </c>
      <c r="C13" s="10">
        <f>B13+C12</f>
        <v>8800</v>
      </c>
      <c r="D13" s="10">
        <f t="shared" ref="D13:E13" si="3">C13+D12</f>
        <v>146400</v>
      </c>
      <c r="E13" s="10">
        <f t="shared" si="3"/>
        <v>272800</v>
      </c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 t="s">
        <v>16</v>
      </c>
      <c r="B15" s="11">
        <f>F12/F6</f>
        <v>1.1217105263157894</v>
      </c>
      <c r="C15" s="1"/>
      <c r="D15" s="1"/>
      <c r="E15" s="1"/>
      <c r="F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4B55-422A-4FD2-8726-B5766B551BC6}">
  <dimension ref="B1:F6"/>
  <sheetViews>
    <sheetView workbookViewId="0">
      <selection activeCell="C8" sqref="C8"/>
    </sheetView>
  </sheetViews>
  <sheetFormatPr defaultRowHeight="14.4" x14ac:dyDescent="0.3"/>
  <cols>
    <col min="3" max="3" width="12" customWidth="1"/>
    <col min="4" max="4" width="10.21875" customWidth="1"/>
    <col min="5" max="5" width="12.44140625" customWidth="1"/>
    <col min="6" max="6" width="13.109375" customWidth="1"/>
  </cols>
  <sheetData>
    <row r="1" spans="2:6" ht="27" x14ac:dyDescent="0.3">
      <c r="B1" s="1" t="s">
        <v>17</v>
      </c>
      <c r="C1" s="1" t="s">
        <v>8</v>
      </c>
      <c r="D1" s="1" t="s">
        <v>7</v>
      </c>
      <c r="E1" s="1" t="s">
        <v>19</v>
      </c>
      <c r="F1" s="1" t="s">
        <v>20</v>
      </c>
    </row>
    <row r="2" spans="2:6" x14ac:dyDescent="0.3">
      <c r="B2" s="3">
        <v>0</v>
      </c>
      <c r="C2" s="4">
        <v>140000</v>
      </c>
      <c r="D2" s="3">
        <v>0</v>
      </c>
      <c r="E2" s="4">
        <f>C2</f>
        <v>140000</v>
      </c>
      <c r="F2" s="3">
        <f>D2</f>
        <v>0</v>
      </c>
    </row>
    <row r="3" spans="2:6" x14ac:dyDescent="0.3">
      <c r="B3" s="3">
        <v>1</v>
      </c>
      <c r="C3" s="4">
        <v>37200</v>
      </c>
      <c r="D3" s="4">
        <v>186000</v>
      </c>
      <c r="E3" s="4">
        <f>E2+C3</f>
        <v>177200</v>
      </c>
      <c r="F3" s="4">
        <f>F2+D3</f>
        <v>186000</v>
      </c>
    </row>
    <row r="4" spans="2:6" x14ac:dyDescent="0.3">
      <c r="B4" s="3">
        <v>2</v>
      </c>
      <c r="C4" s="4">
        <v>34400</v>
      </c>
      <c r="D4" s="4">
        <v>172000</v>
      </c>
      <c r="E4" s="4">
        <f t="shared" ref="E4:E5" si="0">E3+C4</f>
        <v>211600</v>
      </c>
      <c r="F4" s="4">
        <f t="shared" ref="F4:F5" si="1">F3+D4</f>
        <v>358000</v>
      </c>
    </row>
    <row r="5" spans="2:6" x14ac:dyDescent="0.3">
      <c r="B5" s="3">
        <v>3</v>
      </c>
      <c r="C5" s="4">
        <v>31600</v>
      </c>
      <c r="D5" s="4">
        <v>158000</v>
      </c>
      <c r="E5" s="4">
        <f t="shared" si="0"/>
        <v>243200</v>
      </c>
      <c r="F5" s="4">
        <f t="shared" si="1"/>
        <v>516000</v>
      </c>
    </row>
    <row r="6" spans="2:6" x14ac:dyDescent="0.3">
      <c r="B6" s="9"/>
      <c r="C6" s="9"/>
      <c r="D6" s="9"/>
      <c r="E6" s="9"/>
      <c r="F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AB38-49D1-4813-85F3-791CFCCBAF95}">
  <dimension ref="A1:C19"/>
  <sheetViews>
    <sheetView workbookViewId="0">
      <selection activeCell="B7" sqref="B7"/>
    </sheetView>
  </sheetViews>
  <sheetFormatPr defaultRowHeight="14.4" x14ac:dyDescent="0.3"/>
  <cols>
    <col min="1" max="1" width="17.21875" style="9" customWidth="1"/>
    <col min="2" max="2" width="15" style="9" customWidth="1"/>
    <col min="3" max="16384" width="8.88671875" style="9"/>
  </cols>
  <sheetData>
    <row r="1" spans="1:3" x14ac:dyDescent="0.3">
      <c r="A1" s="6" t="s">
        <v>40</v>
      </c>
      <c r="B1" s="1"/>
      <c r="C1" s="1"/>
    </row>
    <row r="2" spans="1:3" x14ac:dyDescent="0.3">
      <c r="A2" s="1" t="s">
        <v>21</v>
      </c>
      <c r="B2" s="3">
        <v>23000</v>
      </c>
      <c r="C2" s="1"/>
    </row>
    <row r="3" spans="1:3" x14ac:dyDescent="0.3">
      <c r="A3" s="1" t="s">
        <v>22</v>
      </c>
      <c r="B3" s="3">
        <v>20000</v>
      </c>
      <c r="C3" s="1"/>
    </row>
    <row r="4" spans="1:3" x14ac:dyDescent="0.3">
      <c r="A4" s="1" t="s">
        <v>23</v>
      </c>
      <c r="B4" s="3">
        <v>25000</v>
      </c>
      <c r="C4" s="1"/>
    </row>
    <row r="5" spans="1:3" x14ac:dyDescent="0.3">
      <c r="A5" s="1" t="s">
        <v>24</v>
      </c>
      <c r="B5" s="3">
        <v>120000</v>
      </c>
      <c r="C5" s="1"/>
    </row>
    <row r="6" spans="1:3" ht="27" x14ac:dyDescent="0.3">
      <c r="A6" s="1" t="s">
        <v>39</v>
      </c>
      <c r="B6" s="3">
        <v>12</v>
      </c>
      <c r="C6" s="6"/>
    </row>
    <row r="7" spans="1:3" x14ac:dyDescent="0.3">
      <c r="A7" s="1"/>
      <c r="B7" s="1"/>
      <c r="C7" s="1"/>
    </row>
    <row r="8" spans="1:3" x14ac:dyDescent="0.3">
      <c r="A8" s="6" t="s">
        <v>25</v>
      </c>
      <c r="B8" s="1"/>
      <c r="C8" s="1"/>
    </row>
    <row r="9" spans="1:3" ht="36.6" customHeight="1" x14ac:dyDescent="0.3">
      <c r="A9" s="1" t="s">
        <v>26</v>
      </c>
      <c r="B9" s="1" t="s">
        <v>41</v>
      </c>
      <c r="C9" s="6"/>
    </row>
    <row r="10" spans="1:3" ht="27" x14ac:dyDescent="0.3">
      <c r="A10" s="1" t="s">
        <v>27</v>
      </c>
      <c r="B10" s="10">
        <f>B3-B4</f>
        <v>-5000</v>
      </c>
      <c r="C10" s="4"/>
    </row>
    <row r="11" spans="1:3" ht="27" x14ac:dyDescent="0.3">
      <c r="A11" s="1" t="s">
        <v>28</v>
      </c>
      <c r="B11" s="10">
        <f>B3-B2</f>
        <v>-3000</v>
      </c>
      <c r="C11" s="4"/>
    </row>
    <row r="12" spans="1:3" ht="27" x14ac:dyDescent="0.3">
      <c r="A12" s="1" t="s">
        <v>29</v>
      </c>
      <c r="B12" s="10">
        <f>B3/B4</f>
        <v>0.8</v>
      </c>
      <c r="C12" s="3"/>
    </row>
    <row r="13" spans="1:3" ht="27" x14ac:dyDescent="0.3">
      <c r="A13" s="1" t="s">
        <v>30</v>
      </c>
      <c r="B13" s="10">
        <f>B3/B2</f>
        <v>0.86956521739130432</v>
      </c>
      <c r="C13" s="1"/>
    </row>
    <row r="14" spans="1:3" x14ac:dyDescent="0.3">
      <c r="A14" s="1"/>
      <c r="B14" s="1"/>
      <c r="C14" s="1"/>
    </row>
    <row r="15" spans="1:3" ht="27" x14ac:dyDescent="0.3">
      <c r="A15" s="1" t="s">
        <v>31</v>
      </c>
      <c r="B15" s="1"/>
      <c r="C15" s="1"/>
    </row>
    <row r="16" spans="1:3" ht="27" x14ac:dyDescent="0.3">
      <c r="A16" s="1" t="s">
        <v>32</v>
      </c>
      <c r="B16" s="10" t="s">
        <v>33</v>
      </c>
      <c r="C16" s="6"/>
    </row>
    <row r="17" spans="1:3" ht="27" x14ac:dyDescent="0.3">
      <c r="A17" s="1" t="s">
        <v>34</v>
      </c>
      <c r="B17" s="10" t="s">
        <v>35</v>
      </c>
      <c r="C17" s="1"/>
    </row>
    <row r="18" spans="1:3" ht="27" x14ac:dyDescent="0.3">
      <c r="A18" s="1" t="s">
        <v>36</v>
      </c>
      <c r="B18" s="10" t="s">
        <v>37</v>
      </c>
      <c r="C18" s="6"/>
    </row>
    <row r="19" spans="1:3" ht="27" x14ac:dyDescent="0.3">
      <c r="A19" s="1" t="s">
        <v>38</v>
      </c>
      <c r="B19" s="10">
        <v>13.8</v>
      </c>
      <c r="C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FC35-F1FC-4ACE-85BF-0155C048ED4F}">
  <dimension ref="A1:Y998"/>
  <sheetViews>
    <sheetView tabSelected="1" workbookViewId="0">
      <selection activeCell="D2" sqref="D2"/>
    </sheetView>
  </sheetViews>
  <sheetFormatPr defaultRowHeight="14.4" x14ac:dyDescent="0.3"/>
  <cols>
    <col min="1" max="1" width="27.44140625" style="9" customWidth="1"/>
    <col min="2" max="2" width="20.88671875" style="9" customWidth="1"/>
    <col min="3" max="3" width="11.33203125" style="9" customWidth="1"/>
    <col min="4" max="16384" width="8.88671875" style="9"/>
  </cols>
  <sheetData>
    <row r="1" spans="1:25" x14ac:dyDescent="0.3">
      <c r="A1" s="6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0.200000000000003" x14ac:dyDescent="0.3">
      <c r="A2" s="1" t="s">
        <v>42</v>
      </c>
      <c r="B2" s="3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40.200000000000003" x14ac:dyDescent="0.3">
      <c r="A3" s="1" t="s">
        <v>43</v>
      </c>
      <c r="B3" s="3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7" x14ac:dyDescent="0.3">
      <c r="A4" s="1" t="s">
        <v>44</v>
      </c>
      <c r="B4" s="3">
        <v>30</v>
      </c>
      <c r="C4" s="1" t="s">
        <v>45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" t="s">
        <v>46</v>
      </c>
      <c r="B5" s="3">
        <v>2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53.4" x14ac:dyDescent="0.3">
      <c r="A6" s="1" t="s">
        <v>47</v>
      </c>
      <c r="B6" s="3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7" x14ac:dyDescent="0.3">
      <c r="A8" s="1" t="s">
        <v>48</v>
      </c>
      <c r="B8" s="1" t="s">
        <v>49</v>
      </c>
      <c r="C8" s="1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x14ac:dyDescent="0.3">
      <c r="A9" s="6" t="s">
        <v>50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5" x14ac:dyDescent="0.3">
      <c r="A10" s="6" t="s">
        <v>51</v>
      </c>
      <c r="B10" s="1"/>
      <c r="C10" s="3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5" x14ac:dyDescent="0.3">
      <c r="A11" s="6" t="s">
        <v>52</v>
      </c>
      <c r="B11" s="1"/>
      <c r="C11" s="3">
        <v>35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5" x14ac:dyDescent="0.3">
      <c r="A12" s="6" t="s">
        <v>53</v>
      </c>
      <c r="B12" s="1"/>
      <c r="C12" s="3">
        <v>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x14ac:dyDescent="0.3">
      <c r="A13" s="1" t="s">
        <v>54</v>
      </c>
      <c r="B13" s="1"/>
      <c r="C13" s="3">
        <v>95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x14ac:dyDescent="0.3">
      <c r="A15" s="6" t="s">
        <v>55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x14ac:dyDescent="0.3">
      <c r="A16" s="12" t="s">
        <v>56</v>
      </c>
      <c r="B16" s="13">
        <v>1</v>
      </c>
      <c r="C16" s="14">
        <v>30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2" t="s">
        <v>57</v>
      </c>
      <c r="B17" s="13">
        <v>1</v>
      </c>
      <c r="C17" s="14">
        <v>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2" t="s">
        <v>58</v>
      </c>
      <c r="B18" s="13">
        <v>0.5</v>
      </c>
      <c r="C18" s="14">
        <v>15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2" t="s">
        <v>59</v>
      </c>
      <c r="B19" s="12"/>
      <c r="C19" s="14">
        <v>75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6" t="s">
        <v>60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6" t="s">
        <v>61</v>
      </c>
      <c r="B22" s="1"/>
      <c r="C22" s="3">
        <v>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 t="s">
        <v>62</v>
      </c>
      <c r="B23" s="1"/>
      <c r="C23" s="3">
        <v>120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6" t="s">
        <v>70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 t="s">
        <v>63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x14ac:dyDescent="0.3">
      <c r="A27" s="1" t="s">
        <v>64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x14ac:dyDescent="0.3">
      <c r="A29" s="1" t="s">
        <v>31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4" x14ac:dyDescent="0.3">
      <c r="A30" s="6" t="s">
        <v>65</v>
      </c>
      <c r="B30" s="6" t="s">
        <v>66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4" x14ac:dyDescent="0.3">
      <c r="A31" s="6" t="s">
        <v>67</v>
      </c>
      <c r="B31" s="6" t="s">
        <v>68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NPV</vt:lpstr>
      <vt:lpstr>ROI</vt:lpstr>
      <vt:lpstr>Payback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2025-11-10T10:09:47Z</dcterms:modified>
</cp:coreProperties>
</file>