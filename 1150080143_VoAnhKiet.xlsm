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autoCompressPictures="0"/>
  <mc:AlternateContent xmlns:mc="http://schemas.openxmlformats.org/markup-compatibility/2006">
    <mc:Choice Requires="x15">
      <x15ac:absPath xmlns:x15ac="http://schemas.microsoft.com/office/spreadsheetml/2010/11/ac" url="C:\Users\duong\Hoc\Test\"/>
    </mc:Choice>
  </mc:AlternateContent>
  <xr:revisionPtr revIDLastSave="0" documentId="13_ncr:1_{BAB11B04-C143-4560-9A56-4E01427C18AD}" xr6:coauthVersionLast="47" xr6:coauthVersionMax="47" xr10:uidLastSave="{00000000-0000-0000-0000-000000000000}"/>
  <bookViews>
    <workbookView xWindow="-108" yWindow="-108" windowWidth="23256" windowHeight="12456" tabRatio="859" firstSheet="4" activeTab="4" xr2:uid="{00000000-000D-0000-FFFF-FFFF00000000}"/>
  </bookViews>
  <sheets>
    <sheet name="Dashboard Data" sheetId="75" state="veryHidden" r:id="rId1"/>
    <sheet name="GanttDashboardTemplate" sheetId="3" state="veryHidden" r:id="rId2"/>
    <sheet name="GanttSettingsTemplate" sheetId="90" state="veryHidden" r:id="rId3"/>
    <sheet name="PivotSheet" sheetId="89" state="veryHidden" r:id="rId4"/>
    <sheet name="Project Plan" sheetId="93" r:id="rId5"/>
    <sheet name="Help" sheetId="7" r:id="rId6"/>
    <sheet name="RS1" sheetId="91" state="veryHidden" r:id="rId7"/>
    <sheet name="GS1" sheetId="92" state="veryHidden" r:id="rId8"/>
  </sheets>
  <functionGroups builtInGroupCount="19"/>
  <definedNames>
    <definedName name="BI">#REF!</definedName>
    <definedName name="H">#REF!</definedName>
    <definedName name="NativeTimeline_EED">#N/A</definedName>
    <definedName name="_xlnm.Print_Titles" localSheetId="1">GanttDashboardTemplate!$2:$2</definedName>
    <definedName name="Slicer_Priority">#N/A</definedName>
    <definedName name="Slicer_Resource">#N/A</definedName>
    <definedName name="Slicer_Status">#N/A</definedName>
    <definedName name="VGD">#REF!</definedName>
    <definedName name="_xlnm.Print_Area" localSheetId="1">GanttDashboardTemplate!$B$1:$G$44</definedName>
  </definedNames>
  <calcPr calcId="191029" calcMode="manual"/>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E2" i="75" l="1"/>
  <c r="BE3" i="75"/>
  <c r="BE4" i="75"/>
  <c r="BE5" i="75"/>
  <c r="BE6" i="75"/>
  <c r="BE7" i="75"/>
  <c r="BE8" i="75"/>
  <c r="BE9" i="75"/>
  <c r="BE10" i="75"/>
  <c r="BE11" i="75"/>
  <c r="BE12" i="75"/>
  <c r="BE13" i="75"/>
  <c r="BE14" i="75"/>
  <c r="BE15" i="75"/>
  <c r="BE16" i="75"/>
  <c r="BE17" i="75"/>
  <c r="BE18" i="75"/>
  <c r="BE19" i="75"/>
  <c r="BE20" i="75"/>
  <c r="BE21" i="75"/>
  <c r="BE22" i="75"/>
  <c r="BE23" i="75"/>
  <c r="BE24" i="75"/>
  <c r="BE25" i="75"/>
  <c r="BE26" i="75"/>
  <c r="BE27" i="75"/>
  <c r="BE28" i="75"/>
  <c r="BE29" i="75"/>
  <c r="BE30" i="75"/>
  <c r="BE31" i="75"/>
  <c r="BE32" i="75"/>
  <c r="BE33" i="75"/>
  <c r="BE34" i="75"/>
  <c r="BE35" i="75"/>
  <c r="BE36" i="75"/>
  <c r="BE37" i="75"/>
  <c r="BE38" i="75"/>
  <c r="BE39" i="75"/>
  <c r="BE40" i="75"/>
  <c r="BE41" i="75"/>
  <c r="BE42" i="75"/>
  <c r="BE43" i="75"/>
  <c r="BE44" i="75"/>
  <c r="BE45" i="75"/>
  <c r="BE46" i="75"/>
  <c r="BE47" i="75"/>
  <c r="BE48" i="75"/>
  <c r="BE49" i="75"/>
  <c r="BE50" i="75"/>
  <c r="BE51" i="75"/>
  <c r="BE52" i="75"/>
  <c r="BE53" i="75"/>
  <c r="BE54" i="75"/>
  <c r="BE55" i="75"/>
  <c r="BE56" i="75"/>
  <c r="BE57" i="75"/>
  <c r="BE58" i="75"/>
  <c r="BE59" i="75"/>
  <c r="BE60" i="75"/>
  <c r="BE61" i="75"/>
  <c r="BE62" i="75"/>
  <c r="BE63" i="75"/>
  <c r="BE64" i="75"/>
  <c r="BE65" i="75"/>
  <c r="BE66" i="75"/>
  <c r="BE67" i="75"/>
  <c r="BE68" i="75"/>
  <c r="BE69" i="75"/>
  <c r="BE70" i="75"/>
  <c r="BE71" i="75"/>
  <c r="BE72" i="75"/>
  <c r="BE73" i="75"/>
  <c r="BE74" i="75"/>
  <c r="BE75" i="75"/>
  <c r="BE76" i="75"/>
  <c r="BE77" i="75"/>
  <c r="BE78" i="75"/>
  <c r="BE79" i="75"/>
  <c r="BE80" i="75"/>
  <c r="BE81" i="75"/>
  <c r="BE82" i="75"/>
  <c r="BE83" i="75"/>
  <c r="BE84" i="75"/>
  <c r="BE85" i="75"/>
  <c r="BE86" i="75"/>
  <c r="BE87" i="75"/>
  <c r="BE88" i="75"/>
  <c r="BE89" i="75"/>
  <c r="BE90" i="75"/>
  <c r="BE91" i="75"/>
  <c r="BE92" i="75"/>
  <c r="BE93" i="75"/>
  <c r="BE94" i="75"/>
  <c r="BE95" i="75"/>
  <c r="BE96" i="75"/>
  <c r="BE97" i="75"/>
  <c r="E13" i="3"/>
  <c r="E12" i="3"/>
  <c r="E11" i="3"/>
  <c r="E10" i="3"/>
  <c r="E9" i="3"/>
  <c r="E7" i="3"/>
  <c r="E6" i="3"/>
  <c r="E5" i="3"/>
  <c r="AZ2" i="3"/>
  <c r="BA2" i="3" s="1"/>
  <c r="D18" i="3" s="1"/>
  <c r="AX2" i="3"/>
  <c r="AY2" i="3" s="1"/>
  <c r="AV2" i="3"/>
  <c r="E4" i="3" s="1"/>
  <c r="AT2" i="3"/>
  <c r="AS2" i="3"/>
</calcChain>
</file>

<file path=xl/sharedStrings.xml><?xml version="1.0" encoding="utf-8"?>
<sst xmlns="http://schemas.openxmlformats.org/spreadsheetml/2006/main" count="1494" uniqueCount="422">
  <si>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</si>
  <si>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</si>
  <si>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</si>
  <si>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</si>
  <si>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</si>
  <si>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</si>
  <si>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</si>
  <si>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</si>
  <si>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</si>
  <si>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</si>
  <si>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</si>
  <si>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</si>
  <si>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</si>
  <si>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</si>
  <si>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</si>
  <si>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</si>
  <si>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</si>
  <si>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</si>
  <si>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</si>
  <si>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</si>
  <si>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</si>
  <si>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</si>
  <si>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</si>
  <si>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</si>
  <si>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</si>
  <si>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</si>
  <si>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</si>
  <si>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</si>
  <si>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</si>
  <si>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</si>
  <si>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</si>
  <si>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</si>
  <si>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</si>
  <si>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</si>
  <si>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</si>
  <si>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</si>
  <si>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</si>
  <si>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</si>
  <si>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</si>
  <si>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</si>
  <si>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</si>
  <si>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</si>
  <si>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</si>
  <si>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</si>
  <si>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</si>
  <si>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</si>
  <si>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</si>
  <si>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</si>
  <si>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</si>
  <si>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</si>
  <si>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</si>
  <si>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</si>
  <si>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</si>
  <si>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</si>
  <si>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</si>
  <si>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</si>
  <si>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</si>
  <si>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</si>
  <si>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</si>
  <si>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</si>
  <si>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</si>
  <si>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</si>
  <si>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</si>
  <si>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</si>
  <si>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</si>
  <si>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</si>
  <si>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</si>
  <si>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</si>
  <si>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</si>
  <si>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</si>
  <si>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</si>
  <si>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</si>
  <si>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</si>
  <si>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</si>
  <si>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</si>
  <si>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</si>
  <si>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</si>
  <si>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</si>
  <si>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</si>
  <si>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</si>
  <si>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</si>
  <si>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</si>
  <si>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</si>
  <si>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</si>
  <si>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</si>
  <si>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</si>
  <si>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</si>
  <si>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</si>
  <si>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</si>
  <si>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</si>
  <si>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</si>
  <si>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</si>
  <si>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</si>
  <si>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</si>
  <si>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</si>
  <si>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</si>
  <si>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</si>
  <si>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</si>
  <si>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</si>
  <si>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</si>
  <si>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</si>
  <si>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</si>
  <si>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</si>
  <si>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</si>
  <si>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</si>
  <si>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</si>
  <si>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</si>
  <si>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</si>
  <si>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</si>
  <si>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</si>
  <si>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</si>
  <si>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</si>
  <si>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</si>
  <si>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</si>
  <si>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</si>
  <si>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</si>
  <si>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</si>
  <si>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</si>
  <si>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</si>
  <si>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</si>
  <si>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</si>
  <si>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</si>
  <si>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</si>
  <si>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</si>
  <si>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</si>
  <si>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</si>
  <si>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</si>
  <si>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</si>
  <si>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</si>
  <si>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</si>
  <si>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</si>
  <si>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</si>
  <si>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</si>
  <si>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</si>
  <si>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</si>
  <si>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</si>
  <si>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</si>
  <si>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</si>
  <si>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</si>
  <si>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</si>
  <si>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</si>
  <si>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</si>
  <si>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</si>
  <si>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</si>
  <si>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</si>
  <si>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</si>
  <si>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</si>
  <si>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</si>
  <si>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</si>
  <si>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</si>
  <si>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</si>
  <si>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</si>
  <si>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r>
      <rPr>
        <sz val="28"/>
        <color rgb="FFFF0000"/>
        <rFont val="Arial"/>
        <family val="2"/>
        <scheme val="minor"/>
      </rPr>
      <t>Gantt Excel</t>
    </r>
    <r>
      <rPr>
        <sz val="28"/>
        <color theme="1"/>
        <rFont val="Arial"/>
        <family val="2"/>
        <scheme val="minor"/>
      </rPr>
      <t xml:space="preserve"> - </t>
    </r>
    <r>
      <rPr>
        <sz val="28"/>
        <color theme="9" tint="-0.249977111117893"/>
        <rFont val="Arial"/>
        <family val="2"/>
        <scheme val="minor"/>
      </rPr>
      <t>Project Management in Excel</t>
    </r>
  </si>
  <si>
    <t>Use the Gantt Menu tab in the Excel Ribbon to Create, View and Edit Gantt Charts</t>
  </si>
  <si>
    <t>SavedDate</t>
  </si>
  <si>
    <t>TIL</t>
  </si>
  <si>
    <t>SS</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</si>
  <si>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</si>
  <si>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</si>
  <si>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</si>
  <si>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</si>
  <si>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</si>
  <si>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</si>
  <si>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</si>
  <si>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</si>
  <si>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</si>
  <si>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</si>
  <si>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</si>
  <si>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</si>
  <si>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</si>
  <si>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</si>
  <si>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</si>
  <si>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</si>
  <si>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</si>
  <si>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</si>
  <si>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</si>
  <si>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</si>
  <si>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</si>
  <si>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</si>
  <si>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</si>
  <si>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</si>
  <si>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</si>
  <si>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</si>
  <si>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</si>
  <si>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</si>
  <si>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</si>
  <si>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</si>
  <si>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</si>
  <si>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</si>
  <si>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</si>
  <si>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</si>
  <si>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</si>
  <si>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</si>
  <si>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</si>
  <si>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</si>
  <si>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</si>
  <si>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</si>
  <si>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</si>
  <si>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</si>
  <si>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</si>
  <si>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</si>
  <si>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</si>
  <si>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</si>
  <si>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</si>
  <si>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</si>
  <si>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</si>
  <si>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</si>
  <si>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</si>
  <si>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</si>
  <si>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</si>
  <si>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</si>
  <si>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</si>
  <si>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</si>
  <si>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</si>
  <si>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</si>
  <si>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</si>
  <si>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</si>
  <si>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</si>
  <si>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</si>
  <si>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</si>
  <si>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</si>
  <si>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</si>
  <si>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</si>
  <si>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</si>
  <si>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</si>
  <si>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</si>
  <si>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Est Budget</t>
  </si>
  <si>
    <t>Act Costs</t>
  </si>
  <si>
    <t>HideHolidays</t>
  </si>
  <si>
    <t>VerticalBorders</t>
  </si>
  <si>
    <t>WBSPredecessors</t>
  </si>
  <si>
    <t>WBSSuccessors</t>
  </si>
  <si>
    <t>Low</t>
  </si>
  <si>
    <t>Normal</t>
  </si>
  <si>
    <t>High</t>
  </si>
  <si>
    <t>M</t>
  </si>
  <si>
    <t>MP</t>
  </si>
  <si>
    <t>C</t>
  </si>
  <si>
    <t>SP</t>
  </si>
  <si>
    <t>TRUE</t>
  </si>
  <si>
    <t>LockWB</t>
  </si>
  <si>
    <t>HiliteHolidays</t>
  </si>
  <si>
    <t>HiliteWorkOffDays</t>
  </si>
  <si>
    <t>HiliteHolidaysPR</t>
  </si>
  <si>
    <t>HiliteWorkOffDaysPR</t>
  </si>
  <si>
    <t>HideWorkOffDays</t>
  </si>
  <si>
    <t>HideNonWorkingHours</t>
  </si>
  <si>
    <t>2.1.1</t>
  </si>
  <si>
    <t>dgdgdg</t>
  </si>
  <si>
    <t>Campaign</t>
  </si>
  <si>
    <t>Quick Start Guide</t>
  </si>
  <si>
    <t>Adam</t>
  </si>
  <si>
    <t>Adrian</t>
  </si>
  <si>
    <t>Danny</t>
  </si>
  <si>
    <t>Gary</t>
  </si>
  <si>
    <t>Sara</t>
  </si>
  <si>
    <t>Toby</t>
  </si>
  <si>
    <t>Architectural Design</t>
  </si>
  <si>
    <t>Create draft of architecture</t>
  </si>
  <si>
    <t>LOW</t>
  </si>
  <si>
    <t>3|</t>
  </si>
  <si>
    <t>1.1.1</t>
  </si>
  <si>
    <t>Prepare construction documents</t>
  </si>
  <si>
    <t>4_FS_0|</t>
  </si>
  <si>
    <t>Agreement to architectural plan</t>
  </si>
  <si>
    <t>Sign agreement with Client</t>
  </si>
  <si>
    <t>HIGH</t>
  </si>
  <si>
    <t>Construction Phase</t>
  </si>
  <si>
    <t>Foundation</t>
  </si>
  <si>
    <t>Level Concrete</t>
  </si>
  <si>
    <t>Decoration Phase</t>
  </si>
  <si>
    <t>Walls and Tiles</t>
  </si>
  <si>
    <t>Interiors/ Furniture</t>
  </si>
  <si>
    <t>Final touches</t>
  </si>
  <si>
    <t>sfsf</t>
  </si>
  <si>
    <t>3.1.1</t>
  </si>
  <si>
    <t>4.1.1</t>
  </si>
  <si>
    <t>21-Feb</t>
  </si>
  <si>
    <t>Matthew</t>
  </si>
  <si>
    <t>Celine</t>
  </si>
  <si>
    <t>6|</t>
  </si>
  <si>
    <t>3_FS_0|</t>
  </si>
  <si>
    <t>9|</t>
  </si>
  <si>
    <t>6_FS_0|</t>
  </si>
  <si>
    <t>10|</t>
  </si>
  <si>
    <t>Excavation</t>
  </si>
  <si>
    <t>9_FS_-2|</t>
  </si>
  <si>
    <t>11|</t>
  </si>
  <si>
    <t>2.1.2</t>
  </si>
  <si>
    <t>Pour Concrete</t>
  </si>
  <si>
    <t>10_SS_0|</t>
  </si>
  <si>
    <t>13|</t>
  </si>
  <si>
    <t>2.1.3</t>
  </si>
  <si>
    <t>Ground Floor</t>
  </si>
  <si>
    <t>11_FS_0|</t>
  </si>
  <si>
    <t>19|14|</t>
  </si>
  <si>
    <t>2.2.1</t>
  </si>
  <si>
    <t>Walls to 1st Floor</t>
  </si>
  <si>
    <t>13_FS_0|</t>
  </si>
  <si>
    <t>2.2.2</t>
  </si>
  <si>
    <t>Windows/ Doors</t>
  </si>
  <si>
    <t>16|</t>
  </si>
  <si>
    <t>2.2.3</t>
  </si>
  <si>
    <t>Roof structure</t>
  </si>
  <si>
    <t>14_FS_0|</t>
  </si>
  <si>
    <t>17|</t>
  </si>
  <si>
    <t>16_SS_0|</t>
  </si>
  <si>
    <t>18|</t>
  </si>
  <si>
    <t>17_FS_0|</t>
  </si>
  <si>
    <t>20|</t>
  </si>
  <si>
    <t>18_FS_0|</t>
  </si>
  <si>
    <t>Move in with Family</t>
  </si>
  <si>
    <t>Excavation Test in Canterbury</t>
  </si>
  <si>
    <t>Type here or double click to edit in form</t>
  </si>
  <si>
    <t>GB3D</t>
  </si>
  <si>
    <t>Hello</t>
  </si>
  <si>
    <t>Stakeholders Meeting</t>
  </si>
  <si>
    <t>Project Kickoff</t>
  </si>
  <si>
    <t>Phase 1</t>
  </si>
  <si>
    <t>Training Completion</t>
  </si>
  <si>
    <t>Go Live</t>
  </si>
  <si>
    <t>sdfsfsf</t>
  </si>
  <si>
    <t>Hi</t>
  </si>
  <si>
    <t>gjgj</t>
  </si>
  <si>
    <t>jjljljljl</t>
  </si>
  <si>
    <t>gjgjgjgjgjgj</t>
  </si>
  <si>
    <t>3.1.2</t>
  </si>
  <si>
    <t>3.1.3</t>
  </si>
  <si>
    <t>3.2.1</t>
  </si>
  <si>
    <t>3.2.2</t>
  </si>
  <si>
    <t>3.2.3</t>
  </si>
  <si>
    <t>4.1.2</t>
  </si>
  <si>
    <t>4.1.3</t>
  </si>
  <si>
    <t>4.2.1</t>
  </si>
  <si>
    <t>4.2.2</t>
  </si>
  <si>
    <t>4.2.3</t>
  </si>
  <si>
    <t>1-Mar</t>
  </si>
  <si>
    <t>22-Feb</t>
  </si>
  <si>
    <t>27-Feb</t>
  </si>
  <si>
    <t>6-Mar</t>
  </si>
  <si>
    <t>8-Mar</t>
  </si>
  <si>
    <t>9-Mar</t>
  </si>
  <si>
    <t>12-Mar</t>
  </si>
  <si>
    <t>14-Mar</t>
  </si>
  <si>
    <t>For Windows Excel versions 2007 - 2024 + All versions of Microsoft 365</t>
  </si>
  <si>
    <t>cpc</t>
  </si>
  <si>
    <t>T42VP</t>
  </si>
  <si>
    <t>TR8'{1RL</t>
  </si>
  <si>
    <t>Cpc</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</si>
  <si>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</si>
  <si>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</si>
  <si>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</si>
  <si>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</si>
  <si>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</si>
  <si>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</si>
  <si>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</si>
  <si>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</si>
  <si>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</si>
  <si>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</si>
  <si>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</si>
  <si>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</si>
  <si>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</si>
  <si>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</si>
  <si>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</si>
  <si>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</si>
  <si>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</si>
  <si>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Resource Cost</t>
  </si>
  <si>
    <t>Baseline Start</t>
  </si>
  <si>
    <t>Baseline End</t>
  </si>
  <si>
    <t>Baseline Duration</t>
  </si>
  <si>
    <t>Start</t>
  </si>
  <si>
    <t>Finish</t>
  </si>
  <si>
    <t>Duration</t>
  </si>
  <si>
    <t>WBS Predecessors</t>
  </si>
  <si>
    <t>WBS Successors</t>
  </si>
  <si>
    <t>% Complete</t>
  </si>
  <si>
    <t>Actual Start</t>
  </si>
  <si>
    <t>Actual End</t>
  </si>
  <si>
    <t>Actual Duration</t>
  </si>
  <si>
    <t>Est. Cost</t>
  </si>
  <si>
    <t>TColor</t>
  </si>
  <si>
    <t>Bar Color</t>
  </si>
  <si>
    <t>TPColor</t>
  </si>
  <si>
    <t>% Color</t>
  </si>
  <si>
    <t>BLColor</t>
  </si>
  <si>
    <t>Baseline Color</t>
  </si>
  <si>
    <t>ACColor</t>
  </si>
  <si>
    <t>Actual Color</t>
  </si>
  <si>
    <t>ShapeInfoE</t>
  </si>
  <si>
    <t>ShapeInfoB</t>
  </si>
  <si>
    <t>ShapeInfoA</t>
  </si>
  <si>
    <t>TimelineStart</t>
  </si>
  <si>
    <t>TimelineEnd</t>
  </si>
  <si>
    <t>LLC</t>
  </si>
  <si>
    <t>1|GS1|RS1</t>
  </si>
  <si>
    <t>RS1</t>
  </si>
  <si>
    <t>Type here to add a new task</t>
  </si>
  <si>
    <t>Project Lead: Click to edit</t>
  </si>
  <si>
    <t>Dương Nguyên</t>
  </si>
  <si>
    <t>529241978686978692682397191994864013771059744140</t>
  </si>
  <si>
    <t>W43</t>
  </si>
  <si>
    <t>W44</t>
  </si>
  <si>
    <t>W45</t>
  </si>
  <si>
    <t>W46</t>
  </si>
  <si>
    <t>W47</t>
  </si>
  <si>
    <t>Khởi tạo dự án</t>
  </si>
  <si>
    <t>1.1.1 Thu thập yêu cầu &amp; đánh giá khả thi</t>
  </si>
  <si>
    <t>1.1.2 Xây dựng bản điều lệ dự án</t>
  </si>
  <si>
    <t>1.1.3 Nộp bản điều lệ dự án</t>
  </si>
  <si>
    <t>1.1.4 Giảng viên phản hồi</t>
  </si>
  <si>
    <t>1.1.5 Phê duyệt bản điều lệ</t>
  </si>
  <si>
    <t>Lập kế hoạch</t>
  </si>
  <si>
    <t>1.2.1 Xác định phạm vi dự án</t>
  </si>
  <si>
    <t>1.2.2 Phân công nhóm dự án</t>
  </si>
  <si>
    <t>1.2.3 Họp khởi động nhóm</t>
  </si>
  <si>
    <t>1.2.4 Lập kế hoạch chi tiết</t>
  </si>
  <si>
    <t>1.2.5 Trình kế hoạch cho giảng viên</t>
  </si>
  <si>
    <t>1.2.6 Mốc: Kế hoạch được duyệt</t>
  </si>
  <si>
    <t>Thực thi</t>
  </si>
  <si>
    <t>1.3.1 Cài đặt môi trường (Flutter, Spring Boot, PostgreSQL)</t>
  </si>
  <si>
    <r>
      <t>Project Budget</t>
    </r>
    <r>
      <rPr>
        <sz val="10"/>
        <color rgb="FF808080"/>
        <rFont val="Arial"/>
        <family val="2"/>
        <charset val="163"/>
        <scheme val="minor"/>
      </rPr>
      <t xml:space="preserve">: Estimated: $0,00 | Baseline: $0,00 | </t>
    </r>
    <r>
      <rPr>
        <b/>
        <sz val="10"/>
        <color rgb="FF808080"/>
        <rFont val="Arial"/>
        <family val="2"/>
        <charset val="163"/>
        <scheme val="minor"/>
      </rPr>
      <t>Task Costs</t>
    </r>
    <r>
      <rPr>
        <sz val="10"/>
        <color rgb="FF808080"/>
        <rFont val="Arial"/>
        <family val="2"/>
        <charset val="163"/>
        <scheme val="minor"/>
      </rPr>
      <t>: Estimated: $0,00 | Baseline: $0,00 | Actual: $0,00</t>
    </r>
  </si>
  <si>
    <t>Xây Dựng Ứng Dụng Quản Lý Sinh Viên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</si>
</sst>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0.00"/>
    <numFmt numFmtId="165" formatCode="ddd\ dd\-mmm\-yy"/>
    <numFmt numFmtId="166" formatCode="[$$-409]#,##0.00"/>
  </numFmts>
  <fonts count="49" x14ac:knownFonts="1">
    <font>
      <sz val="11"/>
      <color theme="1"/>
      <name val="Arial"/>
      <family val="2"/>
      <scheme val="minor"/>
    </font>
    <font>
      <b/>
      <sz val="15"/>
      <color theme="3"/>
      <name val="Arial"/>
      <family val="2"/>
      <scheme val="minor"/>
    </font>
    <font>
      <u/>
      <sz val="11"/>
      <color theme="10"/>
      <name val="Arial"/>
      <family val="2"/>
      <scheme val="minor"/>
    </font>
    <font>
      <u/>
      <sz val="10"/>
      <color theme="10"/>
      <name val="Arial"/>
      <family val="2"/>
      <scheme val="minor"/>
    </font>
    <font>
      <b/>
      <sz val="24"/>
      <color rgb="FF00B0F0"/>
      <name val="Arial"/>
      <family val="2"/>
      <scheme val="minor"/>
    </font>
    <font>
      <sz val="8"/>
      <color theme="0"/>
      <name val="Arial"/>
      <family val="2"/>
      <scheme val="minor"/>
    </font>
    <font>
      <sz val="10"/>
      <color theme="0"/>
      <name val="Arial"/>
      <family val="2"/>
      <scheme val="minor"/>
    </font>
    <font>
      <sz val="10"/>
      <color theme="1"/>
      <name val="Arial"/>
      <family val="2"/>
      <scheme val="minor"/>
    </font>
    <font>
      <sz val="10"/>
      <color rgb="FFFF0000"/>
      <name val="Arial"/>
      <family val="2"/>
      <scheme val="minor"/>
    </font>
    <font>
      <sz val="10"/>
      <name val="Arial"/>
      <family val="2"/>
      <scheme val="minor"/>
    </font>
    <font>
      <b/>
      <sz val="7"/>
      <color rgb="FF00B0F0"/>
      <name val="Arial"/>
      <family val="2"/>
      <scheme val="minor"/>
    </font>
    <font>
      <b/>
      <sz val="10"/>
      <color theme="1"/>
      <name val="Arial"/>
      <family val="2"/>
      <scheme val="minor"/>
    </font>
    <font>
      <b/>
      <sz val="11"/>
      <color rgb="FF00B0F0"/>
      <name val="Arial"/>
      <family val="2"/>
      <scheme val="minor"/>
    </font>
    <font>
      <u/>
      <sz val="11"/>
      <color theme="11"/>
      <name val="Arial"/>
      <family val="2"/>
      <scheme val="minor"/>
    </font>
    <font>
      <i/>
      <sz val="11"/>
      <color theme="1"/>
      <name val="Arial"/>
      <family val="2"/>
      <scheme val="minor"/>
    </font>
    <font>
      <b/>
      <sz val="10"/>
      <color theme="4" tint="-0.499984740745262"/>
      <name val="Arial"/>
      <family val="2"/>
      <scheme val="minor"/>
    </font>
    <font>
      <b/>
      <sz val="14"/>
      <color rgb="FFFF0000"/>
      <name val="Arial"/>
      <family val="2"/>
      <scheme val="minor"/>
    </font>
    <font>
      <sz val="9"/>
      <color theme="1"/>
      <name val="Arial"/>
      <family val="2"/>
      <scheme val="minor"/>
    </font>
    <font>
      <sz val="11"/>
      <color rgb="FFFF0000"/>
      <name val="Arial"/>
      <family val="2"/>
      <scheme val="minor"/>
    </font>
    <font>
      <sz val="26"/>
      <color rgb="FF00B0F0"/>
      <name val="Arial"/>
      <family val="2"/>
      <scheme val="minor"/>
    </font>
    <font>
      <sz val="28"/>
      <color theme="1"/>
      <name val="Arial"/>
      <family val="2"/>
      <scheme val="minor"/>
    </font>
    <font>
      <sz val="28"/>
      <color rgb="FFFF0000"/>
      <name val="Arial"/>
      <family val="2"/>
      <scheme val="minor"/>
    </font>
    <font>
      <sz val="28"/>
      <color theme="9" tint="-0.249977111117893"/>
      <name val="Arial"/>
      <family val="2"/>
      <scheme val="minor"/>
    </font>
    <font>
      <sz val="8"/>
      <name val="Arial"/>
      <family val="2"/>
      <scheme val="minor"/>
    </font>
    <font>
      <b/>
      <sz val="12"/>
      <color rgb="FF00B0F0"/>
      <name val="Arial"/>
      <family val="2"/>
      <scheme val="minor"/>
    </font>
    <font>
      <sz val="11"/>
      <color theme="1"/>
      <name val="Arial"/>
      <family val="2"/>
      <scheme val="minor"/>
    </font>
    <font>
      <sz val="11"/>
      <color theme="8"/>
      <name val="Arial"/>
      <family val="2"/>
      <scheme val="minor"/>
    </font>
    <font>
      <sz val="11"/>
      <color theme="0"/>
      <name val="Arial"/>
      <family val="2"/>
      <scheme val="minor"/>
    </font>
    <font>
      <sz val="9"/>
      <color theme="1"/>
      <name val="Verdana"/>
      <family val="2"/>
    </font>
    <font>
      <sz val="10"/>
      <name val="Arial"/>
      <family val="2"/>
    </font>
    <font>
      <sz val="11"/>
      <color rgb="FF000000"/>
      <name val="Arial"/>
      <family val="2"/>
      <scheme val="minor"/>
    </font>
    <font>
      <sz val="10"/>
      <color rgb="FF000000"/>
      <name val="Arial"/>
      <family val="2"/>
      <scheme val="minor"/>
    </font>
    <font>
      <b/>
      <sz val="9"/>
      <color rgb="FF000000"/>
      <name val="Arial"/>
      <family val="2"/>
      <scheme val="minor"/>
    </font>
    <font>
      <b/>
      <sz val="12"/>
      <color rgb="FFFFFFFF"/>
      <name val="Arial"/>
      <family val="2"/>
      <scheme val="minor"/>
    </font>
    <font>
      <sz val="10"/>
      <color rgb="FF808080"/>
      <name val="Arial"/>
      <family val="2"/>
      <scheme val="minor"/>
    </font>
    <font>
      <b/>
      <sz val="10"/>
      <color rgb="FF808080"/>
      <name val="Arial"/>
      <family val="2"/>
      <scheme val="minor"/>
    </font>
    <font>
      <sz val="8"/>
      <color rgb="FF000000"/>
      <name val="Arial"/>
      <family val="2"/>
      <scheme val="minor"/>
    </font>
    <font>
      <b/>
      <sz val="16"/>
      <color rgb="FFFFFFFF"/>
      <name val="Arial"/>
      <family val="2"/>
      <scheme val="minor"/>
    </font>
    <font>
      <sz val="11"/>
      <color rgb="FF009ED6"/>
      <name val="Arial"/>
      <family val="2"/>
      <scheme val="minor"/>
    </font>
    <font>
      <sz val="10"/>
      <color rgb="FFA8E7FE"/>
      <name val="Wingdings 3"/>
      <family val="1"/>
      <charset val="2"/>
    </font>
    <font>
      <sz val="10"/>
      <color rgb="FF009ED6"/>
      <name val="Arial"/>
      <family val="2"/>
      <scheme val="minor"/>
    </font>
    <font>
      <sz val="11"/>
      <color rgb="FF000000"/>
      <name val="Calibri"/>
      <family val="2"/>
      <charset val="163"/>
    </font>
    <font>
      <sz val="8"/>
      <color rgb="FF000000"/>
      <name val="Arial"/>
      <family val="2"/>
      <charset val="163"/>
      <scheme val="minor"/>
    </font>
    <font>
      <b/>
      <sz val="10"/>
      <color rgb="FFFFFFFF"/>
      <name val="Arial"/>
      <family val="2"/>
      <charset val="163"/>
      <scheme val="minor"/>
    </font>
    <font>
      <sz val="10"/>
      <color rgb="FF000000"/>
      <name val="Arial"/>
      <family val="2"/>
      <charset val="163"/>
      <scheme val="minor"/>
    </font>
    <font>
      <i/>
      <sz val="10"/>
      <color rgb="FF000000"/>
      <name val="Arial"/>
      <family val="2"/>
      <charset val="163"/>
      <scheme val="minor"/>
    </font>
    <font>
      <sz val="10"/>
      <color rgb="FF808080"/>
      <name val="Arial"/>
      <family val="2"/>
      <charset val="163"/>
      <scheme val="minor"/>
    </font>
    <font>
      <b/>
      <sz val="10"/>
      <color rgb="FF808080"/>
      <name val="Arial"/>
      <family val="2"/>
      <charset val="163"/>
      <scheme val="minor"/>
    </font>
    <font>
      <sz val="10"/>
      <color rgb="FFD3D3D3"/>
      <name val="Wingdings 3"/>
      <family val="1"/>
      <charset val="2"/>
    </font>
  </fonts>
  <fills count="53">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
      <patternFill patternType="solid">
        <fgColor rgb="FF92D050"/>
        <bgColor indexed="64"/>
      </patternFill>
    </fill>
    <fill>
      <patternFill patternType="solid">
        <fgColor rgb="FF009ED6"/>
        <bgColor indexed="64"/>
      </patternFill>
    </fill>
  </fills>
  <borders count="19">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right/>
      <top/>
      <bottom style="thin">
        <color rgb="FFCCFFFF"/>
      </bottom>
      <diagonal/>
    </border>
    <border>
      <left/>
      <right/>
      <top style="thin">
        <color rgb="FFCCFFFF"/>
      </top>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style="thin">
        <color rgb="FFCCFFFF"/>
      </left>
      <right/>
      <top/>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top style="thin">
        <color rgb="FFCCFFFF"/>
      </top>
      <bottom style="thin">
        <color rgb="FFCCFFFF"/>
      </bottom>
      <diagonal/>
    </border>
    <border>
      <left/>
      <right style="thin">
        <color rgb="FFCCFFFF"/>
      </right>
      <top style="thin">
        <color rgb="FFCCFFFF"/>
      </top>
      <bottom/>
      <diagonal/>
    </border>
    <border>
      <left style="thin">
        <color rgb="FFCCFFFF"/>
      </left>
      <right style="thin">
        <color rgb="FFCCFFFF"/>
      </right>
      <top style="thin">
        <color rgb="FFCCFFFF"/>
      </top>
      <bottom/>
      <diagonal/>
    </border>
    <border>
      <left/>
      <right/>
      <top style="thin">
        <color rgb="FFFF0000"/>
      </top>
      <bottom style="thin">
        <color rgb="FFFF0000"/>
      </bottom>
      <diagonal/>
    </border>
    <border>
      <left/>
      <right style="thin">
        <color rgb="FFCCFFFF"/>
      </right>
      <top style="thin">
        <color rgb="FFFF0000"/>
      </top>
      <bottom style="thin">
        <color rgb="FFFF0000"/>
      </bottom>
      <diagonal/>
    </border>
    <border>
      <left style="thin">
        <color rgb="FFCCFFFF"/>
      </left>
      <right style="thin">
        <color rgb="FFCCFFFF"/>
      </right>
      <top style="thin">
        <color rgb="FFFF0000"/>
      </top>
      <bottom style="thin">
        <color rgb="FFFF0000"/>
      </bottom>
      <diagonal/>
    </border>
    <border>
      <left style="thin">
        <color rgb="FFCCFFFF"/>
      </left>
      <right/>
      <top style="thin">
        <color rgb="FFCCFFFF"/>
      </top>
      <bottom style="thin">
        <color rgb="FFCCFFFF"/>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5" fillId="0" borderId="0" applyFont="0" applyFill="0" applyBorder="0" applyAlignment="0" applyProtection="0"/>
    <xf numFmtId="0" fontId="29" fillId="0" borderId="0"/>
    <xf numFmtId="0" fontId="2" fillId="0" borderId="0" applyNumberFormat="0" applyFill="0" applyBorder="0" applyAlignment="0" applyProtection="0"/>
  </cellStyleXfs>
  <cellXfs count="263">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2" borderId="0" xfId="0" applyFill="1"/>
    <xf numFmtId="0" fontId="6" fillId="4" borderId="0" xfId="0" applyFont="1" applyFill="1"/>
    <xf numFmtId="0" fontId="5" fillId="4" borderId="0" xfId="0" applyFont="1" applyFill="1"/>
    <xf numFmtId="49" fontId="0" fillId="0" borderId="0" xfId="0" applyNumberFormat="1"/>
    <xf numFmtId="0" fontId="4" fillId="4" borderId="0" xfId="0" applyFont="1" applyFill="1" applyAlignment="1">
      <alignment horizontal="left" vertical="center" indent="5"/>
    </xf>
    <xf numFmtId="0" fontId="3" fillId="4" borderId="0" xfId="0" applyFont="1" applyFill="1" applyProtection="1">
      <protection locked="0"/>
    </xf>
    <xf numFmtId="0" fontId="15" fillId="4" borderId="0" xfId="0" applyFont="1" applyFill="1" applyAlignment="1">
      <alignment horizontal="left" vertical="center"/>
    </xf>
    <xf numFmtId="0" fontId="4" fillId="2" borderId="0" xfId="0" applyFont="1" applyFill="1" applyAlignment="1">
      <alignment horizontal="left" vertical="center" indent="5"/>
    </xf>
    <xf numFmtId="0" fontId="3" fillId="2" borderId="0" xfId="0" applyFont="1" applyFill="1" applyProtection="1">
      <protection locked="0"/>
    </xf>
    <xf numFmtId="0" fontId="18" fillId="0" borderId="0" xfId="0" applyFont="1"/>
    <xf numFmtId="0" fontId="16" fillId="4" borderId="0" xfId="0" applyFont="1" applyFill="1"/>
    <xf numFmtId="0" fontId="0" fillId="4" borderId="0" xfId="0" applyFill="1" applyAlignment="1">
      <alignment horizontal="center"/>
    </xf>
    <xf numFmtId="0" fontId="14" fillId="0" borderId="0" xfId="0" applyFont="1"/>
    <xf numFmtId="14" fontId="0" fillId="0" borderId="0" xfId="0" applyNumberFormat="1"/>
    <xf numFmtId="0" fontId="20" fillId="0" borderId="0" xfId="0" applyFont="1"/>
    <xf numFmtId="0" fontId="0" fillId="48" borderId="0" xfId="0" applyFill="1"/>
    <xf numFmtId="0" fontId="0" fillId="0" borderId="0" xfId="0" pivotButton="1"/>
    <xf numFmtId="0" fontId="0" fillId="0" borderId="0" xfId="0" applyAlignment="1">
      <alignment horizontal="left"/>
    </xf>
    <xf numFmtId="3" fontId="9" fillId="0" borderId="0" xfId="0" applyNumberFormat="1" applyFont="1"/>
    <xf numFmtId="0" fontId="7" fillId="0" borderId="0" xfId="0" applyFont="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4" fillId="0" borderId="0" xfId="0" applyFont="1"/>
    <xf numFmtId="9" fontId="0" fillId="0" borderId="0" xfId="200" applyFont="1" applyProtection="1">
      <protection locked="0"/>
    </xf>
    <xf numFmtId="0" fontId="7" fillId="0" borderId="4" xfId="0" applyFont="1" applyBorder="1"/>
    <xf numFmtId="15" fontId="7" fillId="0" borderId="4" xfId="0" applyNumberFormat="1" applyFont="1" applyBorder="1"/>
    <xf numFmtId="0" fontId="26"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27" fillId="50" borderId="0" xfId="0" applyFont="1" applyFill="1"/>
    <xf numFmtId="164" fontId="0" fillId="0" borderId="0" xfId="0" applyNumberFormat="1"/>
    <xf numFmtId="0" fontId="17" fillId="0" borderId="0" xfId="0" applyFont="1"/>
    <xf numFmtId="4" fontId="0" fillId="0" borderId="0" xfId="0" applyNumberFormat="1" applyProtection="1">
      <protection locked="0"/>
    </xf>
    <xf numFmtId="0" fontId="0" fillId="30" borderId="0" xfId="0" applyFill="1"/>
    <xf numFmtId="0" fontId="0" fillId="40" borderId="0" xfId="0" applyFill="1"/>
    <xf numFmtId="0" fontId="0" fillId="29" borderId="0" xfId="0" applyFill="1"/>
    <xf numFmtId="0" fontId="0" fillId="9" borderId="0" xfId="0" applyFill="1"/>
    <xf numFmtId="0" fontId="0" fillId="11" borderId="0" xfId="0" applyFill="1"/>
    <xf numFmtId="0" fontId="0" fillId="32" borderId="0" xfId="0" applyFill="1"/>
    <xf numFmtId="0" fontId="0" fillId="39" borderId="0" xfId="0" applyFill="1"/>
    <xf numFmtId="0" fontId="0" fillId="15" borderId="0" xfId="0" applyFill="1"/>
    <xf numFmtId="0" fontId="0" fillId="34" borderId="0" xfId="0" applyFill="1"/>
    <xf numFmtId="0" fontId="0" fillId="41" borderId="0" xfId="0" applyFill="1"/>
    <xf numFmtId="0" fontId="0" fillId="43" borderId="0" xfId="0" applyFill="1"/>
    <xf numFmtId="0" fontId="0" fillId="42" borderId="0" xfId="0" applyFill="1"/>
    <xf numFmtId="0" fontId="0" fillId="35" borderId="0" xfId="0" applyFill="1"/>
    <xf numFmtId="0" fontId="0" fillId="31" borderId="0" xfId="0" applyFill="1"/>
    <xf numFmtId="0" fontId="0" fillId="33" borderId="0" xfId="0" applyFill="1"/>
    <xf numFmtId="0" fontId="0" fillId="36" borderId="0" xfId="0" applyFill="1"/>
    <xf numFmtId="0" fontId="0" fillId="45" borderId="0" xfId="0" applyFill="1"/>
    <xf numFmtId="0" fontId="0" fillId="47" borderId="0" xfId="0" applyFill="1"/>
    <xf numFmtId="0" fontId="0" fillId="7" borderId="0" xfId="0" applyFill="1"/>
    <xf numFmtId="0" fontId="0" fillId="38" borderId="0" xfId="0" applyFill="1"/>
    <xf numFmtId="1" fontId="0" fillId="0" borderId="0" xfId="0" applyNumberFormat="1"/>
    <xf numFmtId="14" fontId="0" fillId="0" borderId="0" xfId="0" applyNumberFormat="1" applyProtection="1">
      <protection locked="0"/>
    </xf>
    <xf numFmtId="0" fontId="0" fillId="16" borderId="0" xfId="0" applyFill="1"/>
    <xf numFmtId="0" fontId="0" fillId="10" borderId="0" xfId="0" applyFill="1"/>
    <xf numFmtId="0" fontId="0" fillId="28" borderId="0" xfId="0" applyFill="1"/>
    <xf numFmtId="0" fontId="0" fillId="6" borderId="0" xfId="0" applyFill="1"/>
    <xf numFmtId="0" fontId="0" fillId="25" borderId="0" xfId="0" applyFill="1"/>
    <xf numFmtId="0" fontId="0" fillId="37" borderId="0" xfId="0" applyFill="1"/>
    <xf numFmtId="0" fontId="0" fillId="17" borderId="0" xfId="0" applyFill="1"/>
    <xf numFmtId="0" fontId="0" fillId="18" borderId="0" xfId="0" applyFill="1"/>
    <xf numFmtId="0" fontId="0" fillId="14" borderId="0" xfId="0" applyFill="1"/>
    <xf numFmtId="0" fontId="0" fillId="23" borderId="0" xfId="0" applyFill="1"/>
    <xf numFmtId="0" fontId="0" fillId="46" borderId="0" xfId="0" applyFill="1"/>
    <xf numFmtId="0" fontId="0" fillId="27" borderId="0" xfId="0" applyFill="1"/>
    <xf numFmtId="0" fontId="0" fillId="22" borderId="0" xfId="0" applyFill="1"/>
    <xf numFmtId="0" fontId="0" fillId="3" borderId="0" xfId="0" applyFill="1"/>
    <xf numFmtId="0" fontId="0" fillId="13" borderId="0" xfId="0" applyFill="1"/>
    <xf numFmtId="0" fontId="0" fillId="44" borderId="0" xfId="0" applyFill="1"/>
    <xf numFmtId="0" fontId="0" fillId="26" borderId="0" xfId="0" applyFill="1"/>
    <xf numFmtId="0" fontId="0" fillId="20" borderId="0" xfId="0" applyFill="1"/>
    <xf numFmtId="0" fontId="0" fillId="19" borderId="0" xfId="0" applyFill="1"/>
    <xf numFmtId="0" fontId="0" fillId="24" borderId="0" xfId="0" applyFill="1"/>
    <xf numFmtId="0" fontId="0" fillId="12" borderId="0" xfId="0" applyFill="1"/>
    <xf numFmtId="0" fontId="0" fillId="8" borderId="0" xfId="0" applyFill="1"/>
    <xf numFmtId="0" fontId="0" fillId="21" borderId="0" xfId="0" applyFill="1"/>
    <xf numFmtId="0" fontId="0" fillId="5" borderId="0" xfId="0" applyFill="1"/>
    <xf numFmtId="0" fontId="17" fillId="12" borderId="0" xfId="0" applyFont="1" applyFill="1" applyProtection="1">
      <protection locked="0"/>
    </xf>
    <xf numFmtId="0" fontId="17" fillId="2" borderId="0" xfId="0" applyFont="1" applyFill="1" applyProtection="1">
      <protection locked="0"/>
    </xf>
    <xf numFmtId="0" fontId="17" fillId="16" borderId="0" xfId="0" applyFont="1" applyFill="1" applyProtection="1">
      <protection locked="0"/>
    </xf>
    <xf numFmtId="0" fontId="17" fillId="51" borderId="0" xfId="0" applyFont="1" applyFill="1" applyProtection="1">
      <protection locked="0"/>
    </xf>
    <xf numFmtId="0" fontId="17" fillId="38" borderId="0" xfId="0" applyFont="1" applyFill="1" applyProtection="1">
      <protection locked="0"/>
    </xf>
    <xf numFmtId="0" fontId="17" fillId="11" borderId="0" xfId="0" applyFont="1" applyFill="1" applyProtection="1">
      <protection locked="0"/>
    </xf>
    <xf numFmtId="14" fontId="0" fillId="0" borderId="0" xfId="0" applyNumberFormat="1" applyAlignment="1">
      <alignment horizontal="left"/>
    </xf>
    <xf numFmtId="0" fontId="0" fillId="51" borderId="0" xfId="0" applyFill="1"/>
    <xf numFmtId="0" fontId="0" fillId="52" borderId="0" xfId="0" applyFill="1"/>
    <xf numFmtId="0" fontId="7" fillId="0" borderId="3" xfId="0" applyFont="1" applyBorder="1" applyAlignment="1">
      <alignment horizontal="left"/>
    </xf>
    <xf numFmtId="22" fontId="0" fillId="0" borderId="0" xfId="0" applyNumberFormat="1"/>
    <xf numFmtId="18" fontId="0" fillId="0" borderId="0" xfId="0" applyNumberFormat="1"/>
    <xf numFmtId="0" fontId="31" fillId="0" borderId="0" xfId="0" applyFont="1" applyAlignment="1">
      <alignment horizontal="center" vertical="center"/>
    </xf>
    <xf numFmtId="9" fontId="31" fillId="0" borderId="0" xfId="0" applyNumberFormat="1" applyFont="1" applyAlignment="1">
      <alignment horizontal="center" vertical="center"/>
    </xf>
    <xf numFmtId="0" fontId="31" fillId="0" borderId="0" xfId="0" applyFont="1" applyAlignment="1">
      <alignment horizontal="left" vertical="center"/>
    </xf>
    <xf numFmtId="0" fontId="31" fillId="0" borderId="0" xfId="0" applyFont="1" applyAlignment="1">
      <alignment horizontal="right" vertical="center"/>
    </xf>
    <xf numFmtId="0" fontId="32" fillId="0" borderId="0" xfId="0" applyFont="1" applyAlignment="1">
      <alignment horizontal="center" vertical="center"/>
    </xf>
    <xf numFmtId="0" fontId="34" fillId="0" borderId="0" xfId="0" applyFont="1" applyAlignment="1">
      <alignment horizontal="left" vertical="center"/>
    </xf>
    <xf numFmtId="0" fontId="35" fillId="0" borderId="0" xfId="0" applyFont="1" applyAlignment="1">
      <alignment horizontal="left" vertical="center"/>
    </xf>
    <xf numFmtId="9" fontId="34" fillId="0" borderId="0" xfId="0" applyNumberFormat="1" applyFont="1" applyAlignment="1">
      <alignment horizontal="left" vertical="center"/>
    </xf>
    <xf numFmtId="0" fontId="31" fillId="0" borderId="0" xfId="0" applyNumberFormat="1" applyFont="1" applyAlignment="1">
      <alignment horizontal="center" vertical="center"/>
    </xf>
    <xf numFmtId="0" fontId="34" fillId="0" borderId="0" xfId="0" applyNumberFormat="1" applyFont="1" applyAlignment="1">
      <alignment horizontal="left" vertical="center"/>
    </xf>
    <xf numFmtId="0" fontId="31" fillId="0" borderId="0" xfId="0" applyFont="1" applyAlignment="1">
      <alignment horizontal="center" vertical="center" wrapText="1"/>
    </xf>
    <xf numFmtId="0" fontId="34" fillId="0" borderId="0" xfId="0" applyFont="1" applyAlignment="1">
      <alignment horizontal="left" vertical="center" wrapText="1"/>
    </xf>
    <xf numFmtId="0" fontId="30" fillId="0" borderId="0" xfId="0" applyFont="1"/>
    <xf numFmtId="0" fontId="31" fillId="0" borderId="6" xfId="0" applyFont="1" applyBorder="1" applyAlignment="1">
      <alignment horizontal="center" vertical="center"/>
    </xf>
    <xf numFmtId="0" fontId="31" fillId="0" borderId="6" xfId="0" applyFont="1" applyBorder="1" applyAlignment="1">
      <alignment horizontal="left" vertical="center"/>
    </xf>
    <xf numFmtId="0" fontId="32" fillId="0" borderId="6" xfId="0" applyFont="1" applyBorder="1" applyAlignment="1">
      <alignment horizontal="center" vertical="center"/>
    </xf>
    <xf numFmtId="0" fontId="31" fillId="0" borderId="6" xfId="0" applyFont="1" applyBorder="1" applyAlignment="1">
      <alignment horizontal="right" vertical="center"/>
    </xf>
    <xf numFmtId="9" fontId="31" fillId="0" borderId="6" xfId="0" applyNumberFormat="1" applyFont="1" applyBorder="1" applyAlignment="1">
      <alignment horizontal="center" vertical="center"/>
    </xf>
    <xf numFmtId="0" fontId="31" fillId="0" borderId="6" xfId="0" applyNumberFormat="1" applyFont="1" applyBorder="1" applyAlignment="1">
      <alignment horizontal="center" vertical="center"/>
    </xf>
    <xf numFmtId="0" fontId="31" fillId="0" borderId="6" xfId="0" applyFont="1" applyBorder="1" applyAlignment="1">
      <alignment horizontal="center" vertical="center" wrapText="1"/>
    </xf>
    <xf numFmtId="0" fontId="0" fillId="0" borderId="6" xfId="0" applyBorder="1"/>
    <xf numFmtId="0" fontId="31" fillId="0" borderId="7" xfId="0" applyFont="1" applyBorder="1" applyAlignment="1">
      <alignment horizontal="center" vertical="center"/>
    </xf>
    <xf numFmtId="0" fontId="31" fillId="0" borderId="8" xfId="0" applyFont="1" applyBorder="1" applyAlignment="1">
      <alignment horizontal="center" vertical="center"/>
    </xf>
    <xf numFmtId="0" fontId="34" fillId="0" borderId="8" xfId="0" applyFont="1" applyBorder="1" applyAlignment="1">
      <alignment horizontal="left" vertical="center"/>
    </xf>
    <xf numFmtId="0" fontId="35" fillId="0" borderId="8" xfId="0" applyFont="1" applyBorder="1" applyAlignment="1">
      <alignment horizontal="left" vertical="center"/>
    </xf>
    <xf numFmtId="9" fontId="34" fillId="0" borderId="8" xfId="0" applyNumberFormat="1" applyFont="1" applyBorder="1" applyAlignment="1">
      <alignment horizontal="left" vertical="center"/>
    </xf>
    <xf numFmtId="0" fontId="34" fillId="0" borderId="8" xfId="0" applyNumberFormat="1" applyFont="1" applyBorder="1" applyAlignment="1">
      <alignment horizontal="left" vertical="center"/>
    </xf>
    <xf numFmtId="0" fontId="34" fillId="0" borderId="8" xfId="0" applyFont="1" applyBorder="1" applyAlignment="1">
      <alignment horizontal="left" vertical="center" wrapText="1"/>
    </xf>
    <xf numFmtId="0" fontId="31" fillId="52" borderId="0" xfId="0" applyFont="1" applyFill="1" applyAlignment="1">
      <alignment horizontal="center" vertical="center"/>
    </xf>
    <xf numFmtId="0" fontId="37" fillId="52" borderId="0" xfId="0" applyFont="1" applyFill="1" applyAlignment="1">
      <alignment horizontal="left" vertical="center"/>
    </xf>
    <xf numFmtId="0" fontId="33" fillId="52" borderId="0" xfId="0" applyFont="1" applyFill="1" applyAlignment="1">
      <alignment horizontal="left" vertical="center"/>
    </xf>
    <xf numFmtId="9" fontId="33" fillId="52" borderId="0" xfId="0" applyNumberFormat="1" applyFont="1" applyFill="1" applyAlignment="1">
      <alignment horizontal="left" vertical="center"/>
    </xf>
    <xf numFmtId="0" fontId="33" fillId="52" borderId="0" xfId="0" applyNumberFormat="1" applyFont="1" applyFill="1" applyAlignment="1">
      <alignment horizontal="left" vertical="center"/>
    </xf>
    <xf numFmtId="0" fontId="33" fillId="52" borderId="0" xfId="0" applyFont="1" applyFill="1" applyAlignment="1">
      <alignment horizontal="left" vertical="center" wrapText="1"/>
    </xf>
    <xf numFmtId="0" fontId="38" fillId="52" borderId="0" xfId="0" applyFont="1" applyFill="1"/>
    <xf numFmtId="0" fontId="0" fillId="0" borderId="9" xfId="0" applyBorder="1"/>
    <xf numFmtId="0" fontId="40" fillId="52" borderId="0" xfId="0" applyFont="1" applyFill="1" applyAlignment="1">
      <alignment horizontal="center" vertical="center"/>
    </xf>
    <xf numFmtId="0" fontId="0" fillId="0" borderId="0" xfId="0"/>
    <xf numFmtId="0" fontId="42" fillId="6" borderId="0" xfId="0" applyFont="1" applyFill="1" applyAlignment="1">
      <alignment horizontal="left" vertical="center"/>
    </xf>
    <xf numFmtId="0" fontId="42" fillId="28" borderId="0" xfId="0" applyFont="1" applyFill="1" applyAlignment="1">
      <alignment horizontal="left" vertical="center"/>
    </xf>
    <xf numFmtId="0" fontId="42" fillId="31" borderId="8" xfId="0" applyFont="1" applyFill="1" applyBorder="1" applyAlignment="1">
      <alignment horizontal="center" vertical="center"/>
    </xf>
    <xf numFmtId="0" fontId="31" fillId="28" borderId="10" xfId="0" applyFont="1" applyFill="1" applyBorder="1" applyAlignment="1">
      <alignment horizontal="center" vertical="center"/>
    </xf>
    <xf numFmtId="0" fontId="31" fillId="28" borderId="11" xfId="0" applyFont="1" applyFill="1" applyBorder="1" applyAlignment="1">
      <alignment horizontal="center" vertical="center"/>
    </xf>
    <xf numFmtId="9" fontId="31" fillId="28" borderId="11" xfId="0" applyNumberFormat="1" applyFont="1" applyFill="1" applyBorder="1" applyAlignment="1">
      <alignment horizontal="center" vertical="center"/>
    </xf>
    <xf numFmtId="0" fontId="31" fillId="28" borderId="11" xfId="0" applyNumberFormat="1" applyFont="1" applyFill="1" applyBorder="1" applyAlignment="1">
      <alignment horizontal="center" vertical="center"/>
    </xf>
    <xf numFmtId="0" fontId="31" fillId="28" borderId="11" xfId="0" applyFont="1" applyFill="1" applyBorder="1" applyAlignment="1">
      <alignment horizontal="center" vertical="center" wrapText="1"/>
    </xf>
    <xf numFmtId="0" fontId="42" fillId="28" borderId="11" xfId="0" applyFont="1" applyFill="1" applyBorder="1" applyAlignment="1">
      <alignment horizontal="center" vertical="center"/>
    </xf>
    <xf numFmtId="0" fontId="42" fillId="43" borderId="11" xfId="0" applyFont="1" applyFill="1" applyBorder="1" applyAlignment="1">
      <alignment horizontal="center" vertical="center"/>
    </xf>
    <xf numFmtId="0" fontId="31" fillId="35" borderId="10" xfId="0" applyFont="1" applyFill="1" applyBorder="1" applyAlignment="1">
      <alignment horizontal="left" vertical="center"/>
    </xf>
    <xf numFmtId="0" fontId="39" fillId="0" borderId="11" xfId="0" applyFont="1" applyBorder="1" applyAlignment="1">
      <alignment horizontal="center" vertical="center"/>
    </xf>
    <xf numFmtId="0" fontId="31" fillId="0" borderId="11" xfId="0" applyFont="1" applyBorder="1" applyAlignment="1">
      <alignment horizontal="left" vertical="center"/>
    </xf>
    <xf numFmtId="0" fontId="36" fillId="0" borderId="11" xfId="0" applyFont="1" applyBorder="1" applyAlignment="1">
      <alignment horizontal="center" vertical="center"/>
    </xf>
    <xf numFmtId="166" fontId="31" fillId="0" borderId="11" xfId="0" applyNumberFormat="1" applyFont="1" applyBorder="1" applyAlignment="1">
      <alignment horizontal="right" vertical="center"/>
    </xf>
    <xf numFmtId="165" fontId="31" fillId="0" borderId="11" xfId="0" applyNumberFormat="1" applyFont="1" applyBorder="1" applyAlignment="1">
      <alignment horizontal="right" vertical="center"/>
    </xf>
    <xf numFmtId="0" fontId="31" fillId="0" borderId="11" xfId="0" applyFont="1" applyBorder="1" applyAlignment="1">
      <alignment horizontal="right" vertical="center"/>
    </xf>
    <xf numFmtId="0" fontId="31" fillId="0" borderId="11" xfId="0" applyFont="1" applyBorder="1" applyAlignment="1">
      <alignment horizontal="center" vertical="center"/>
    </xf>
    <xf numFmtId="9" fontId="31" fillId="0" borderId="11" xfId="0" applyNumberFormat="1" applyFont="1" applyBorder="1" applyAlignment="1">
      <alignment horizontal="center" vertical="center"/>
    </xf>
    <xf numFmtId="0" fontId="31" fillId="0" borderId="11" xfId="0" applyNumberFormat="1" applyFont="1" applyBorder="1" applyAlignment="1">
      <alignment horizontal="left" vertical="center"/>
    </xf>
    <xf numFmtId="0" fontId="31" fillId="0" borderId="11" xfId="0" applyFont="1" applyBorder="1" applyAlignment="1">
      <alignment horizontal="left" vertical="center" wrapText="1"/>
    </xf>
    <xf numFmtId="0" fontId="0" fillId="0" borderId="11" xfId="0" applyFill="1" applyBorder="1"/>
    <xf numFmtId="0" fontId="0" fillId="0" borderId="12" xfId="0" applyBorder="1"/>
    <xf numFmtId="0" fontId="42" fillId="31" borderId="7" xfId="0" applyFont="1" applyFill="1" applyBorder="1" applyAlignment="1">
      <alignment horizontal="center" vertical="center"/>
    </xf>
    <xf numFmtId="0" fontId="42" fillId="28" borderId="10" xfId="0" applyFont="1" applyFill="1" applyBorder="1" applyAlignment="1">
      <alignment horizontal="center" vertical="center"/>
    </xf>
    <xf numFmtId="0" fontId="0" fillId="0" borderId="10" xfId="0" applyFill="1" applyBorder="1"/>
    <xf numFmtId="0" fontId="12" fillId="0" borderId="0" xfId="0" applyFont="1" applyAlignment="1">
      <alignment horizontal="center" vertical="center"/>
    </xf>
    <xf numFmtId="0" fontId="10" fillId="0" borderId="0" xfId="0" applyFont="1" applyAlignment="1">
      <alignment horizontal="center"/>
    </xf>
    <xf numFmtId="9" fontId="28" fillId="0" borderId="0" xfId="0" applyNumberFormat="1" applyFont="1" applyAlignment="1">
      <alignment horizontal="center" vertical="top"/>
    </xf>
    <xf numFmtId="0" fontId="1" fillId="49" borderId="1" xfId="1" applyFill="1" applyAlignment="1">
      <alignment horizontal="left" vertical="center"/>
    </xf>
    <xf numFmtId="0" fontId="27" fillId="0" borderId="0" xfId="0" applyFont="1" applyAlignment="1">
      <alignment horizontal="left" vertical="center"/>
    </xf>
    <xf numFmtId="0" fontId="27" fillId="50" borderId="2" xfId="0" applyFont="1" applyFill="1" applyBorder="1" applyAlignment="1">
      <alignment horizontal="left" vertical="center"/>
    </xf>
    <xf numFmtId="0" fontId="2" fillId="0" borderId="0" xfId="202"/>
    <xf numFmtId="0" fontId="0" fillId="0" borderId="0" xfId="0"/>
    <xf numFmtId="0" fontId="19" fillId="0" borderId="0" xfId="0" applyFont="1" applyAlignment="1">
      <alignment horizontal="center" vertical="center"/>
    </xf>
    <xf numFmtId="0" fontId="20" fillId="0" borderId="0" xfId="0" applyFont="1" applyAlignment="1">
      <alignment horizontal="center"/>
    </xf>
    <xf numFmtId="0" fontId="43" fillId="45" borderId="11" xfId="0" applyFont="1" applyFill="1" applyBorder="1" applyAlignment="1">
      <alignment horizontal="center" vertical="center"/>
    </xf>
    <xf numFmtId="0" fontId="31" fillId="0" borderId="12" xfId="0" applyFont="1" applyBorder="1" applyAlignment="1">
      <alignment horizontal="center" vertical="center"/>
    </xf>
    <xf numFmtId="0" fontId="31" fillId="0" borderId="12" xfId="0" applyFont="1" applyBorder="1" applyAlignment="1">
      <alignment horizontal="left" vertical="center"/>
    </xf>
    <xf numFmtId="0" fontId="32" fillId="0" borderId="12" xfId="0" applyFont="1" applyBorder="1" applyAlignment="1">
      <alignment horizontal="center" vertical="center"/>
    </xf>
    <xf numFmtId="0" fontId="31" fillId="0" borderId="12" xfId="0" applyFont="1" applyBorder="1" applyAlignment="1">
      <alignment horizontal="right" vertical="center"/>
    </xf>
    <xf numFmtId="9" fontId="31" fillId="0" borderId="12" xfId="0" applyNumberFormat="1" applyFont="1" applyBorder="1" applyAlignment="1">
      <alignment horizontal="center" vertical="center"/>
    </xf>
    <xf numFmtId="0" fontId="31" fillId="0" borderId="12" xfId="0" applyNumberFormat="1" applyFont="1" applyBorder="1" applyAlignment="1">
      <alignment horizontal="center" vertical="center"/>
    </xf>
    <xf numFmtId="0" fontId="31" fillId="0" borderId="12" xfId="0" applyFont="1" applyBorder="1" applyAlignment="1">
      <alignment horizontal="center" vertical="center" wrapText="1"/>
    </xf>
    <xf numFmtId="0" fontId="43" fillId="45" borderId="14" xfId="0" applyFont="1" applyFill="1" applyBorder="1" applyAlignment="1">
      <alignment horizontal="center" vertical="center"/>
    </xf>
    <xf numFmtId="165" fontId="31" fillId="0" borderId="14" xfId="0" applyNumberFormat="1" applyFont="1" applyBorder="1" applyAlignment="1">
      <alignment horizontal="right" vertical="center"/>
    </xf>
    <xf numFmtId="0" fontId="0" fillId="0" borderId="5" xfId="0" applyBorder="1"/>
    <xf numFmtId="0" fontId="44" fillId="0" borderId="17" xfId="0" applyFont="1" applyBorder="1" applyAlignment="1">
      <alignment horizontal="left" vertical="center"/>
    </xf>
    <xf numFmtId="0" fontId="44" fillId="0" borderId="17" xfId="0" applyNumberFormat="1" applyFont="1" applyBorder="1" applyAlignment="1">
      <alignment horizontal="left" vertical="center"/>
    </xf>
    <xf numFmtId="0" fontId="42" fillId="0" borderId="17" xfId="0" applyFont="1" applyBorder="1" applyAlignment="1">
      <alignment horizontal="center" vertical="center"/>
    </xf>
    <xf numFmtId="0" fontId="44" fillId="0" borderId="17" xfId="0" applyFont="1" applyBorder="1" applyAlignment="1">
      <alignment horizontal="right" vertical="center"/>
    </xf>
    <xf numFmtId="165" fontId="44" fillId="0" borderId="17" xfId="0" applyNumberFormat="1" applyFont="1" applyBorder="1" applyAlignment="1">
      <alignment horizontal="right" vertical="center"/>
    </xf>
    <xf numFmtId="0" fontId="44" fillId="0" borderId="17" xfId="0" applyNumberFormat="1" applyFont="1" applyBorder="1" applyAlignment="1">
      <alignment horizontal="right" vertical="center"/>
    </xf>
    <xf numFmtId="0" fontId="44" fillId="0" borderId="17" xfId="0" applyFont="1" applyBorder="1" applyAlignment="1">
      <alignment horizontal="center" vertical="center"/>
    </xf>
    <xf numFmtId="9" fontId="44" fillId="0" borderId="17" xfId="0" applyNumberFormat="1" applyFont="1" applyBorder="1" applyAlignment="1">
      <alignment horizontal="center" vertical="center"/>
    </xf>
    <xf numFmtId="0" fontId="44" fillId="0" borderId="17" xfId="0" applyFont="1" applyBorder="1" applyAlignment="1">
      <alignment horizontal="left" vertical="center" wrapText="1"/>
    </xf>
    <xf numFmtId="0" fontId="30" fillId="0" borderId="17" xfId="0" applyFont="1" applyBorder="1"/>
    <xf numFmtId="0" fontId="30" fillId="0" borderId="9" xfId="0" applyFont="1" applyBorder="1"/>
    <xf numFmtId="166" fontId="44" fillId="0" borderId="17" xfId="0" applyNumberFormat="1" applyFont="1" applyBorder="1" applyAlignment="1">
      <alignment horizontal="right" vertical="center"/>
    </xf>
    <xf numFmtId="0" fontId="43" fillId="45" borderId="17" xfId="0" applyFont="1" applyFill="1" applyBorder="1" applyAlignment="1">
      <alignment horizontal="center" vertical="center"/>
    </xf>
    <xf numFmtId="0" fontId="44" fillId="35" borderId="16" xfId="0" applyFont="1" applyFill="1" applyBorder="1" applyAlignment="1">
      <alignment horizontal="left" vertical="center"/>
    </xf>
    <xf numFmtId="0" fontId="0" fillId="0" borderId="11" xfId="0" applyNumberFormat="1" applyBorder="1" applyAlignment="1"/>
    <xf numFmtId="0" fontId="44" fillId="35" borderId="10" xfId="0" applyFont="1" applyFill="1" applyBorder="1" applyAlignment="1">
      <alignment horizontal="left" vertical="center"/>
    </xf>
    <xf numFmtId="0" fontId="44" fillId="0" borderId="11" xfId="0" applyFont="1" applyBorder="1" applyAlignment="1">
      <alignment horizontal="left" vertical="center"/>
    </xf>
    <xf numFmtId="0" fontId="44" fillId="0" borderId="11" xfId="0" applyNumberFormat="1" applyFont="1" applyBorder="1" applyAlignment="1">
      <alignment horizontal="left" vertical="center"/>
    </xf>
    <xf numFmtId="0" fontId="42" fillId="0" borderId="11" xfId="0" applyFont="1" applyBorder="1" applyAlignment="1">
      <alignment horizontal="center" vertical="center"/>
    </xf>
    <xf numFmtId="166" fontId="44" fillId="0" borderId="11" xfId="0" applyNumberFormat="1" applyFont="1" applyBorder="1" applyAlignment="1">
      <alignment horizontal="right" vertical="center"/>
    </xf>
    <xf numFmtId="165" fontId="44" fillId="0" borderId="11" xfId="0" applyNumberFormat="1" applyFont="1" applyBorder="1" applyAlignment="1">
      <alignment horizontal="right" vertical="center"/>
    </xf>
    <xf numFmtId="0" fontId="44" fillId="0" borderId="11" xfId="0" applyFont="1" applyBorder="1" applyAlignment="1">
      <alignment horizontal="right" vertical="center"/>
    </xf>
    <xf numFmtId="0" fontId="44" fillId="0" borderId="11" xfId="0" applyNumberFormat="1" applyFont="1" applyBorder="1" applyAlignment="1">
      <alignment horizontal="right" vertical="center"/>
    </xf>
    <xf numFmtId="0" fontId="44" fillId="0" borderId="11" xfId="0" applyFont="1" applyBorder="1" applyAlignment="1">
      <alignment horizontal="center" vertical="center"/>
    </xf>
    <xf numFmtId="9" fontId="44" fillId="0" borderId="11" xfId="0" applyNumberFormat="1" applyFont="1" applyBorder="1" applyAlignment="1">
      <alignment horizontal="center" vertical="center"/>
    </xf>
    <xf numFmtId="0" fontId="44" fillId="0" borderId="11" xfId="0" applyFont="1" applyBorder="1" applyAlignment="1">
      <alignment horizontal="left" vertical="center" wrapText="1"/>
    </xf>
    <xf numFmtId="0" fontId="44" fillId="0" borderId="18" xfId="0" applyFont="1" applyBorder="1" applyAlignment="1">
      <alignment horizontal="left" vertical="center" wrapText="1"/>
    </xf>
    <xf numFmtId="0" fontId="30" fillId="0" borderId="11" xfId="0" applyFont="1" applyBorder="1"/>
    <xf numFmtId="0" fontId="44" fillId="35" borderId="13" xfId="0" applyFont="1" applyFill="1" applyBorder="1" applyAlignment="1">
      <alignment horizontal="left" vertical="center"/>
    </xf>
    <xf numFmtId="0" fontId="44" fillId="0" borderId="14" xfId="0" applyFont="1" applyBorder="1" applyAlignment="1">
      <alignment horizontal="left" vertical="center"/>
    </xf>
    <xf numFmtId="0" fontId="44" fillId="0" borderId="14" xfId="0" applyNumberFormat="1" applyFont="1" applyBorder="1" applyAlignment="1">
      <alignment horizontal="left" vertical="center"/>
    </xf>
    <xf numFmtId="0" fontId="42" fillId="0" borderId="14" xfId="0" applyFont="1" applyBorder="1" applyAlignment="1">
      <alignment horizontal="center" vertical="center"/>
    </xf>
    <xf numFmtId="166" fontId="44" fillId="0" borderId="14" xfId="0" applyNumberFormat="1" applyFont="1" applyBorder="1" applyAlignment="1">
      <alignment horizontal="right" vertical="center"/>
    </xf>
    <xf numFmtId="165" fontId="44" fillId="0" borderId="14" xfId="0" applyNumberFormat="1" applyFont="1" applyBorder="1" applyAlignment="1">
      <alignment horizontal="right" vertical="center"/>
    </xf>
    <xf numFmtId="0" fontId="44" fillId="0" borderId="14" xfId="0" applyFont="1" applyBorder="1" applyAlignment="1">
      <alignment horizontal="right" vertical="center"/>
    </xf>
    <xf numFmtId="0" fontId="44" fillId="0" borderId="14" xfId="0" applyNumberFormat="1" applyFont="1" applyBorder="1" applyAlignment="1">
      <alignment horizontal="right" vertical="center"/>
    </xf>
    <xf numFmtId="0" fontId="44" fillId="0" borderId="14" xfId="0" applyFont="1" applyBorder="1" applyAlignment="1">
      <alignment horizontal="center" vertical="center"/>
    </xf>
    <xf numFmtId="9" fontId="44" fillId="0" borderId="14" xfId="0" applyNumberFormat="1" applyFont="1" applyBorder="1" applyAlignment="1">
      <alignment horizontal="center" vertical="center"/>
    </xf>
    <xf numFmtId="0" fontId="44" fillId="0" borderId="14" xfId="0" applyFont="1" applyBorder="1" applyAlignment="1">
      <alignment horizontal="left" vertical="center" wrapText="1"/>
    </xf>
    <xf numFmtId="0" fontId="30" fillId="0" borderId="14" xfId="0" applyFont="1" applyBorder="1"/>
    <xf numFmtId="0" fontId="45" fillId="0" borderId="12" xfId="0" applyFont="1" applyBorder="1" applyAlignment="1">
      <alignment horizontal="left" vertical="center"/>
    </xf>
    <xf numFmtId="0" fontId="30" fillId="0" borderId="0" xfId="0" applyFont="1" applyBorder="1"/>
    <xf numFmtId="0" fontId="44" fillId="35" borderId="7" xfId="0" applyFont="1" applyFill="1" applyBorder="1" applyAlignment="1">
      <alignment horizontal="left" vertical="center"/>
    </xf>
    <xf numFmtId="0" fontId="44" fillId="0" borderId="8" xfId="0" applyFont="1" applyBorder="1" applyAlignment="1">
      <alignment horizontal="left" vertical="center"/>
    </xf>
    <xf numFmtId="0" fontId="44" fillId="0" borderId="8" xfId="0" applyNumberFormat="1" applyFont="1" applyBorder="1" applyAlignment="1">
      <alignment horizontal="left" vertical="center"/>
    </xf>
    <xf numFmtId="0" fontId="43" fillId="45" borderId="8" xfId="0" applyFont="1" applyFill="1" applyBorder="1" applyAlignment="1">
      <alignment horizontal="center" vertical="center"/>
    </xf>
    <xf numFmtId="0" fontId="42" fillId="0" borderId="8" xfId="0" applyFont="1" applyBorder="1" applyAlignment="1">
      <alignment horizontal="center" vertical="center"/>
    </xf>
    <xf numFmtId="166" fontId="44" fillId="0" borderId="8" xfId="0" applyNumberFormat="1" applyFont="1" applyBorder="1" applyAlignment="1">
      <alignment horizontal="right" vertical="center"/>
    </xf>
    <xf numFmtId="165" fontId="44" fillId="0" borderId="8" xfId="0" applyNumberFormat="1" applyFont="1" applyBorder="1" applyAlignment="1">
      <alignment horizontal="right" vertical="center"/>
    </xf>
    <xf numFmtId="0" fontId="44" fillId="0" borderId="8" xfId="0" applyFont="1" applyBorder="1" applyAlignment="1">
      <alignment horizontal="right" vertical="center"/>
    </xf>
    <xf numFmtId="0" fontId="44" fillId="0" borderId="8" xfId="0" applyNumberFormat="1" applyFont="1" applyBorder="1" applyAlignment="1">
      <alignment horizontal="right" vertical="center"/>
    </xf>
    <xf numFmtId="0" fontId="44" fillId="0" borderId="8" xfId="0" applyFont="1" applyBorder="1" applyAlignment="1">
      <alignment horizontal="center" vertical="center"/>
    </xf>
    <xf numFmtId="9" fontId="44" fillId="0" borderId="8" xfId="0" applyNumberFormat="1" applyFont="1" applyBorder="1" applyAlignment="1">
      <alignment horizontal="center" vertical="center"/>
    </xf>
    <xf numFmtId="0" fontId="44" fillId="0" borderId="8" xfId="0" applyFont="1" applyBorder="1" applyAlignment="1">
      <alignment horizontal="left" vertical="center" wrapText="1"/>
    </xf>
    <xf numFmtId="0" fontId="30" fillId="0" borderId="8" xfId="0" applyFont="1" applyBorder="1"/>
    <xf numFmtId="0" fontId="31" fillId="0" borderId="11" xfId="0" applyNumberFormat="1" applyFont="1" applyBorder="1" applyAlignment="1">
      <alignment horizontal="right" vertical="center"/>
    </xf>
    <xf numFmtId="0" fontId="0" fillId="0" borderId="0" xfId="0" applyBorder="1"/>
    <xf numFmtId="0" fontId="0" fillId="0" borderId="15" xfId="0" applyBorder="1"/>
    <xf numFmtId="165" fontId="31" fillId="0" borderId="17" xfId="0" applyNumberFormat="1" applyFont="1" applyBorder="1" applyAlignment="1">
      <alignment horizontal="right" vertical="center"/>
    </xf>
    <xf numFmtId="0" fontId="47" fillId="0" borderId="8" xfId="0" applyFont="1" applyBorder="1" applyAlignment="1">
      <alignment horizontal="left" vertical="center"/>
    </xf>
    <xf numFmtId="0" fontId="48" fillId="0" borderId="11" xfId="0" applyFont="1" applyBorder="1" applyAlignment="1">
      <alignment horizontal="center" vertical="center"/>
    </xf>
    <xf numFmtId="0" fontId="48" fillId="0" borderId="14" xfId="0" applyFont="1" applyBorder="1" applyAlignment="1">
      <alignment horizontal="center" vertical="center"/>
    </xf>
    <xf numFmtId="0" fontId="48" fillId="0" borderId="8" xfId="0" applyFont="1" applyBorder="1" applyAlignment="1">
      <alignment horizontal="center" vertical="center"/>
    </xf>
    <xf numFmtId="165" fontId="31" fillId="0" borderId="8" xfId="0" applyNumberFormat="1" applyFont="1" applyBorder="1" applyAlignment="1">
      <alignment horizontal="right" vertical="center"/>
    </xf>
    <xf numFmtId="0" fontId="48" fillId="0" borderId="17" xfId="0" applyFont="1" applyBorder="1" applyAlignment="1">
      <alignment horizontal="center" vertical="center"/>
    </xf>
  </cellXfs>
  <cellStyles count="203">
    <cellStyle name="Bình thường" xfId="0" builtinId="0"/>
    <cellStyle name="Đầu đề 1" xfId="1" builtinId="16"/>
    <cellStyle name="Normal 3" xfId="201" xr:uid="{9D4ECA66-6D70-4B02-B05B-06759E560FDD}"/>
    <cellStyle name="Phần trăm" xfId="200" builtinId="5"/>
    <cellStyle name="Siêu kết nối" xfId="2" builtinId="8" hidden="1"/>
    <cellStyle name="Siêu kết nối" xfId="202" builtinId="8"/>
    <cellStyle name="Siêu kết nối đã Bấm vào" xfId="3" builtinId="9" hidden="1"/>
    <cellStyle name="Siêu kết nối đã Bấm vào" xfId="4" builtinId="9" hidden="1"/>
    <cellStyle name="Siêu kết nối đã Bấm vào" xfId="5" builtinId="9" hidden="1"/>
    <cellStyle name="Siêu kết nối đã Bấm vào" xfId="6" builtinId="9" hidden="1"/>
    <cellStyle name="Siêu kết nối đã Bấm vào" xfId="7" builtinId="9" hidden="1"/>
    <cellStyle name="Siêu kết nối đã Bấm vào" xfId="8" builtinId="9" hidden="1"/>
    <cellStyle name="Siêu kết nối đã Bấm vào" xfId="9" builtinId="9" hidden="1"/>
    <cellStyle name="Siêu kết nối đã Bấm vào" xfId="10" builtinId="9" hidden="1"/>
    <cellStyle name="Siêu kết nối đã Bấm vào" xfId="11" builtinId="9" hidden="1"/>
    <cellStyle name="Siêu kết nối đã Bấm vào" xfId="12" builtinId="9" hidden="1"/>
    <cellStyle name="Siêu kết nối đã Bấm vào" xfId="13" builtinId="9" hidden="1"/>
    <cellStyle name="Siêu kết nối đã Bấm vào" xfId="14" builtinId="9" hidden="1"/>
    <cellStyle name="Siêu kết nối đã Bấm vào" xfId="15" builtinId="9" hidden="1"/>
    <cellStyle name="Siêu kết nối đã Bấm vào" xfId="16" builtinId="9" hidden="1"/>
    <cellStyle name="Siêu kết nối đã Bấm vào" xfId="17" builtinId="9" hidden="1"/>
    <cellStyle name="Siêu kết nối đã Bấm vào" xfId="18" builtinId="9" hidden="1"/>
    <cellStyle name="Siêu kết nối đã Bấm vào" xfId="19" builtinId="9" hidden="1"/>
    <cellStyle name="Siêu kết nối đã Bấm vào" xfId="20" builtinId="9" hidden="1"/>
    <cellStyle name="Siêu kết nối đã Bấm vào" xfId="21" builtinId="9" hidden="1"/>
    <cellStyle name="Siêu kết nối đã Bấm vào" xfId="22" builtinId="9" hidden="1"/>
    <cellStyle name="Siêu kết nối đã Bấm vào" xfId="23" builtinId="9" hidden="1"/>
    <cellStyle name="Siêu kết nối đã Bấm vào" xfId="24" builtinId="9" hidden="1"/>
    <cellStyle name="Siêu kết nối đã Bấm vào" xfId="25" builtinId="9" hidden="1"/>
    <cellStyle name="Siêu kết nối đã Bấm vào" xfId="26" builtinId="9" hidden="1"/>
    <cellStyle name="Siêu kết nối đã Bấm vào" xfId="27" builtinId="9" hidden="1"/>
    <cellStyle name="Siêu kết nối đã Bấm vào" xfId="28" builtinId="9" hidden="1"/>
    <cellStyle name="Siêu kết nối đã Bấm vào" xfId="29" builtinId="9" hidden="1"/>
    <cellStyle name="Siêu kết nối đã Bấm vào" xfId="30" builtinId="9" hidden="1"/>
    <cellStyle name="Siêu kết nối đã Bấm vào" xfId="31" builtinId="9" hidden="1"/>
    <cellStyle name="Siêu kết nối đã Bấm vào" xfId="32" builtinId="9" hidden="1"/>
    <cellStyle name="Siêu kết nối đã Bấm vào" xfId="33" builtinId="9" hidden="1"/>
    <cellStyle name="Siêu kết nối đã Bấm vào" xfId="34" builtinId="9" hidden="1"/>
    <cellStyle name="Siêu kết nối đã Bấm vào" xfId="35" builtinId="9" hidden="1"/>
    <cellStyle name="Siêu kết nối đã Bấm vào" xfId="36" builtinId="9" hidden="1"/>
    <cellStyle name="Siêu kết nối đã Bấm vào" xfId="37" builtinId="9" hidden="1"/>
    <cellStyle name="Siêu kết nối đã Bấm vào" xfId="38" builtinId="9" hidden="1"/>
    <cellStyle name="Siêu kết nối đã Bấm vào" xfId="39" builtinId="9" hidden="1"/>
    <cellStyle name="Siêu kết nối đã Bấm vào" xfId="40" builtinId="9" hidden="1"/>
    <cellStyle name="Siêu kết nối đã Bấm vào" xfId="41" builtinId="9" hidden="1"/>
    <cellStyle name="Siêu kết nối đã Bấm vào" xfId="42" builtinId="9" hidden="1"/>
    <cellStyle name="Siêu kết nối đã Bấm vào" xfId="43" builtinId="9" hidden="1"/>
    <cellStyle name="Siêu kết nối đã Bấm vào" xfId="44" builtinId="9" hidden="1"/>
    <cellStyle name="Siêu kết nối đã Bấm vào" xfId="45" builtinId="9" hidden="1"/>
    <cellStyle name="Siêu kết nối đã Bấm vào" xfId="46" builtinId="9" hidden="1"/>
    <cellStyle name="Siêu kết nối đã Bấm vào" xfId="47" builtinId="9" hidden="1"/>
    <cellStyle name="Siêu kết nối đã Bấm vào" xfId="48" builtinId="9" hidden="1"/>
    <cellStyle name="Siêu kết nối đã Bấm vào" xfId="49" builtinId="9" hidden="1"/>
    <cellStyle name="Siêu kết nối đã Bấm vào" xfId="50" builtinId="9" hidden="1"/>
    <cellStyle name="Siêu kết nối đã Bấm vào" xfId="51" builtinId="9" hidden="1"/>
    <cellStyle name="Siêu kết nối đã Bấm vào" xfId="52" builtinId="9" hidden="1"/>
    <cellStyle name="Siêu kết nối đã Bấm vào" xfId="53" builtinId="9" hidden="1"/>
    <cellStyle name="Siêu kết nối đã Bấm vào" xfId="54" builtinId="9" hidden="1"/>
    <cellStyle name="Siêu kết nối đã Bấm vào" xfId="55" builtinId="9" hidden="1"/>
    <cellStyle name="Siêu kết nối đã Bấm vào" xfId="56" builtinId="9" hidden="1"/>
    <cellStyle name="Siêu kết nối đã Bấm vào" xfId="57" builtinId="9" hidden="1"/>
    <cellStyle name="Siêu kết nối đã Bấm vào" xfId="58" builtinId="9" hidden="1"/>
    <cellStyle name="Siêu kết nối đã Bấm vào" xfId="59" builtinId="9" hidden="1"/>
    <cellStyle name="Siêu kết nối đã Bấm vào" xfId="60" builtinId="9" hidden="1"/>
    <cellStyle name="Siêu kết nối đã Bấm vào" xfId="61" builtinId="9" hidden="1"/>
    <cellStyle name="Siêu kết nối đã Bấm vào" xfId="62" builtinId="9" hidden="1"/>
    <cellStyle name="Siêu kết nối đã Bấm vào" xfId="63" builtinId="9" hidden="1"/>
    <cellStyle name="Siêu kết nối đã Bấm vào" xfId="64" builtinId="9" hidden="1"/>
    <cellStyle name="Siêu kết nối đã Bấm vào" xfId="65" builtinId="9" hidden="1"/>
    <cellStyle name="Siêu kết nối đã Bấm vào" xfId="66" builtinId="9" hidden="1"/>
    <cellStyle name="Siêu kết nối đã Bấm vào" xfId="67" builtinId="9" hidden="1"/>
    <cellStyle name="Siêu kết nối đã Bấm vào" xfId="68" builtinId="9" hidden="1"/>
    <cellStyle name="Siêu kết nối đã Bấm vào" xfId="69" builtinId="9" hidden="1"/>
    <cellStyle name="Siêu kết nối đã Bấm vào" xfId="70" builtinId="9" hidden="1"/>
    <cellStyle name="Siêu kết nối đã Bấm vào" xfId="71" builtinId="9" hidden="1"/>
    <cellStyle name="Siêu kết nối đã Bấm vào" xfId="72" builtinId="9" hidden="1"/>
    <cellStyle name="Siêu kết nối đã Bấm vào" xfId="73" builtinId="9" hidden="1"/>
    <cellStyle name="Siêu kết nối đã Bấm vào" xfId="74" builtinId="9" hidden="1"/>
    <cellStyle name="Siêu kết nối đã Bấm vào" xfId="75" builtinId="9" hidden="1"/>
    <cellStyle name="Siêu kết nối đã Bấm vào" xfId="76" builtinId="9" hidden="1"/>
    <cellStyle name="Siêu kết nối đã Bấm vào" xfId="77" builtinId="9" hidden="1"/>
    <cellStyle name="Siêu kết nối đã Bấm vào" xfId="78" builtinId="9" hidden="1"/>
    <cellStyle name="Siêu kết nối đã Bấm vào" xfId="79" builtinId="9" hidden="1"/>
    <cellStyle name="Siêu kết nối đã Bấm vào" xfId="80" builtinId="9" hidden="1"/>
    <cellStyle name="Siêu kết nối đã Bấm vào" xfId="81" builtinId="9" hidden="1"/>
    <cellStyle name="Siêu kết nối đã Bấm vào" xfId="82" builtinId="9" hidden="1"/>
    <cellStyle name="Siêu kết nối đã Bấm vào" xfId="83" builtinId="9" hidden="1"/>
    <cellStyle name="Siêu kết nối đã Bấm vào" xfId="84" builtinId="9" hidden="1"/>
    <cellStyle name="Siêu kết nối đã Bấm vào" xfId="85" builtinId="9" hidden="1"/>
    <cellStyle name="Siêu kết nối đã Bấm vào" xfId="86" builtinId="9" hidden="1"/>
    <cellStyle name="Siêu kết nối đã Bấm vào" xfId="87" builtinId="9" hidden="1"/>
    <cellStyle name="Siêu kết nối đã Bấm vào" xfId="88" builtinId="9" hidden="1"/>
    <cellStyle name="Siêu kết nối đã Bấm vào" xfId="89" builtinId="9" hidden="1"/>
    <cellStyle name="Siêu kết nối đã Bấm vào" xfId="90" builtinId="9" hidden="1"/>
    <cellStyle name="Siêu kết nối đã Bấm vào" xfId="91" builtinId="9" hidden="1"/>
    <cellStyle name="Siêu kết nối đã Bấm vào" xfId="92" builtinId="9" hidden="1"/>
    <cellStyle name="Siêu kết nối đã Bấm vào" xfId="93" builtinId="9" hidden="1"/>
    <cellStyle name="Siêu kết nối đã Bấm vào" xfId="94" builtinId="9" hidden="1"/>
    <cellStyle name="Siêu kết nối đã Bấm vào" xfId="95" builtinId="9" hidden="1"/>
    <cellStyle name="Siêu kết nối đã Bấm vào" xfId="96" builtinId="9" hidden="1"/>
    <cellStyle name="Siêu kết nối đã Bấm vào" xfId="97" builtinId="9" hidden="1"/>
    <cellStyle name="Siêu kết nối đã Bấm vào" xfId="98" builtinId="9" hidden="1"/>
    <cellStyle name="Siêu kết nối đã Bấm vào" xfId="99" builtinId="9" hidden="1"/>
    <cellStyle name="Siêu kết nối đã Bấm vào" xfId="100" builtinId="9" hidden="1"/>
    <cellStyle name="Siêu kết nối đã Bấm vào" xfId="101" builtinId="9" hidden="1"/>
    <cellStyle name="Siêu kết nối đã Bấm vào" xfId="102" builtinId="9" hidden="1"/>
    <cellStyle name="Siêu kết nối đã Bấm vào" xfId="103" builtinId="9" hidden="1"/>
    <cellStyle name="Siêu kết nối đã Bấm vào" xfId="104" builtinId="9" hidden="1"/>
    <cellStyle name="Siêu kết nối đã Bấm vào" xfId="105" builtinId="9" hidden="1"/>
    <cellStyle name="Siêu kết nối đã Bấm vào" xfId="106" builtinId="9" hidden="1"/>
    <cellStyle name="Siêu kết nối đã Bấm vào" xfId="107" builtinId="9" hidden="1"/>
    <cellStyle name="Siêu kết nối đã Bấm vào" xfId="108" builtinId="9" hidden="1"/>
    <cellStyle name="Siêu kết nối đã Bấm vào" xfId="109" builtinId="9" hidden="1"/>
    <cellStyle name="Siêu kết nối đã Bấm vào" xfId="110" builtinId="9" hidden="1"/>
    <cellStyle name="Siêu kết nối đã Bấm vào" xfId="111" builtinId="9" hidden="1"/>
    <cellStyle name="Siêu kết nối đã Bấm vào" xfId="112" builtinId="9" hidden="1"/>
    <cellStyle name="Siêu kết nối đã Bấm vào" xfId="113" builtinId="9" hidden="1"/>
    <cellStyle name="Siêu kết nối đã Bấm vào" xfId="114" builtinId="9" hidden="1"/>
    <cellStyle name="Siêu kết nối đã Bấm vào" xfId="115" builtinId="9" hidden="1"/>
    <cellStyle name="Siêu kết nối đã Bấm vào" xfId="116" builtinId="9" hidden="1"/>
    <cellStyle name="Siêu kết nối đã Bấm vào" xfId="117" builtinId="9" hidden="1"/>
    <cellStyle name="Siêu kết nối đã Bấm vào" xfId="118" builtinId="9" hidden="1"/>
    <cellStyle name="Siêu kết nối đã Bấm vào" xfId="119" builtinId="9" hidden="1"/>
    <cellStyle name="Siêu kết nối đã Bấm vào" xfId="120" builtinId="9" hidden="1"/>
    <cellStyle name="Siêu kết nối đã Bấm vào" xfId="121" builtinId="9" hidden="1"/>
    <cellStyle name="Siêu kết nối đã Bấm vào" xfId="122" builtinId="9" hidden="1"/>
    <cellStyle name="Siêu kết nối đã Bấm vào" xfId="123" builtinId="9" hidden="1"/>
    <cellStyle name="Siêu kết nối đã Bấm vào" xfId="124" builtinId="9" hidden="1"/>
    <cellStyle name="Siêu kết nối đã Bấm vào" xfId="125" builtinId="9" hidden="1"/>
    <cellStyle name="Siêu kết nối đã Bấm vào" xfId="126" builtinId="9" hidden="1"/>
    <cellStyle name="Siêu kết nối đã Bấm vào" xfId="127" builtinId="9" hidden="1"/>
    <cellStyle name="Siêu kết nối đã Bấm vào" xfId="128" builtinId="9" hidden="1"/>
    <cellStyle name="Siêu kết nối đã Bấm vào" xfId="129" builtinId="9" hidden="1"/>
    <cellStyle name="Siêu kết nối đã Bấm vào" xfId="130" builtinId="9" hidden="1"/>
    <cellStyle name="Siêu kết nối đã Bấm vào" xfId="131" builtinId="9" hidden="1"/>
    <cellStyle name="Siêu kết nối đã Bấm vào" xfId="132" builtinId="9" hidden="1"/>
    <cellStyle name="Siêu kết nối đã Bấm vào" xfId="133" builtinId="9" hidden="1"/>
    <cellStyle name="Siêu kết nối đã Bấm vào" xfId="134" builtinId="9" hidden="1"/>
    <cellStyle name="Siêu kết nối đã Bấm vào" xfId="135" builtinId="9" hidden="1"/>
    <cellStyle name="Siêu kết nối đã Bấm vào" xfId="136" builtinId="9" hidden="1"/>
    <cellStyle name="Siêu kết nối đã Bấm vào" xfId="137" builtinId="9" hidden="1"/>
    <cellStyle name="Siêu kết nối đã Bấm vào" xfId="138" builtinId="9" hidden="1"/>
    <cellStyle name="Siêu kết nối đã Bấm vào" xfId="139" builtinId="9" hidden="1"/>
    <cellStyle name="Siêu kết nối đã Bấm vào" xfId="140" builtinId="9" hidden="1"/>
    <cellStyle name="Siêu kết nối đã Bấm vào" xfId="141" builtinId="9" hidden="1"/>
    <cellStyle name="Siêu kết nối đã Bấm vào" xfId="142" builtinId="9" hidden="1"/>
    <cellStyle name="Siêu kết nối đã Bấm vào" xfId="143" builtinId="9" hidden="1"/>
    <cellStyle name="Siêu kết nối đã Bấm vào" xfId="144" builtinId="9" hidden="1"/>
    <cellStyle name="Siêu kết nối đã Bấm vào" xfId="145" builtinId="9" hidden="1"/>
    <cellStyle name="Siêu kết nối đã Bấm vào" xfId="146" builtinId="9" hidden="1"/>
    <cellStyle name="Siêu kết nối đã Bấm vào" xfId="147" builtinId="9" hidden="1"/>
    <cellStyle name="Siêu kết nối đã Bấm vào" xfId="148" builtinId="9" hidden="1"/>
    <cellStyle name="Siêu kết nối đã Bấm vào" xfId="149" builtinId="9" hidden="1"/>
    <cellStyle name="Siêu kết nối đã Bấm vào" xfId="150" builtinId="9" hidden="1"/>
    <cellStyle name="Siêu kết nối đã Bấm vào" xfId="151" builtinId="9" hidden="1"/>
    <cellStyle name="Siêu kết nối đã Bấm vào" xfId="152" builtinId="9" hidden="1"/>
    <cellStyle name="Siêu kết nối đã Bấm vào" xfId="153" builtinId="9" hidden="1"/>
    <cellStyle name="Siêu kết nối đã Bấm vào" xfId="154" builtinId="9" hidden="1"/>
    <cellStyle name="Siêu kết nối đã Bấm vào" xfId="155" builtinId="9" hidden="1"/>
    <cellStyle name="Siêu kết nối đã Bấm vào" xfId="156" builtinId="9" hidden="1"/>
    <cellStyle name="Siêu kết nối đã Bấm vào" xfId="157" builtinId="9" hidden="1"/>
    <cellStyle name="Siêu kết nối đã Bấm vào" xfId="158" builtinId="9" hidden="1"/>
    <cellStyle name="Siêu kết nối đã Bấm vào" xfId="159" builtinId="9" hidden="1"/>
    <cellStyle name="Siêu kết nối đã Bấm vào" xfId="160" builtinId="9" hidden="1"/>
    <cellStyle name="Siêu kết nối đã Bấm vào" xfId="161" builtinId="9" hidden="1"/>
    <cellStyle name="Siêu kết nối đã Bấm vào" xfId="162" builtinId="9" hidden="1"/>
    <cellStyle name="Siêu kết nối đã Bấm vào" xfId="163" builtinId="9" hidden="1"/>
    <cellStyle name="Siêu kết nối đã Bấm vào" xfId="164" builtinId="9" hidden="1"/>
    <cellStyle name="Siêu kết nối đã Bấm vào" xfId="165" builtinId="9" hidden="1"/>
    <cellStyle name="Siêu kết nối đã Bấm vào" xfId="166" builtinId="9" hidden="1"/>
    <cellStyle name="Siêu kết nối đã Bấm vào" xfId="167" builtinId="9" hidden="1"/>
    <cellStyle name="Siêu kết nối đã Bấm vào" xfId="168" builtinId="9" hidden="1"/>
    <cellStyle name="Siêu kết nối đã Bấm vào" xfId="169" builtinId="9" hidden="1"/>
    <cellStyle name="Siêu kết nối đã Bấm vào" xfId="170" builtinId="9" hidden="1"/>
    <cellStyle name="Siêu kết nối đã Bấm vào" xfId="171" builtinId="9" hidden="1"/>
    <cellStyle name="Siêu kết nối đã Bấm vào" xfId="172" builtinId="9" hidden="1"/>
    <cellStyle name="Siêu kết nối đã Bấm vào" xfId="173" builtinId="9" hidden="1"/>
    <cellStyle name="Siêu kết nối đã Bấm vào" xfId="174" builtinId="9" hidden="1"/>
    <cellStyle name="Siêu kết nối đã Bấm vào" xfId="175" builtinId="9" hidden="1"/>
    <cellStyle name="Siêu kết nối đã Bấm vào" xfId="176" builtinId="9" hidden="1"/>
    <cellStyle name="Siêu kết nối đã Bấm vào" xfId="177" builtinId="9" hidden="1"/>
    <cellStyle name="Siêu kết nối đã Bấm vào" xfId="178" builtinId="9" hidden="1"/>
    <cellStyle name="Siêu kết nối đã Bấm vào" xfId="179" builtinId="9" hidden="1"/>
    <cellStyle name="Siêu kết nối đã Bấm vào" xfId="180" builtinId="9" hidden="1"/>
    <cellStyle name="Siêu kết nối đã Bấm vào" xfId="181" builtinId="9" hidden="1"/>
    <cellStyle name="Siêu kết nối đã Bấm vào" xfId="182" builtinId="9" hidden="1"/>
    <cellStyle name="Siêu kết nối đã Bấm vào" xfId="183" builtinId="9" hidden="1"/>
    <cellStyle name="Siêu kết nối đã Bấm vào" xfId="184" builtinId="9" hidden="1"/>
    <cellStyle name="Siêu kết nối đã Bấm vào" xfId="185" builtinId="9" hidden="1"/>
    <cellStyle name="Siêu kết nối đã Bấm vào" xfId="186" builtinId="9" hidden="1"/>
    <cellStyle name="Siêu kết nối đã Bấm vào" xfId="187" builtinId="9" hidden="1"/>
    <cellStyle name="Siêu kết nối đã Bấm vào" xfId="188" builtinId="9" hidden="1"/>
    <cellStyle name="Siêu kết nối đã Bấm vào" xfId="189" builtinId="9" hidden="1"/>
    <cellStyle name="Siêu kết nối đã Bấm vào" xfId="190" builtinId="9" hidden="1"/>
    <cellStyle name="Siêu kết nối đã Bấm vào" xfId="191" builtinId="9" hidden="1"/>
    <cellStyle name="Siêu kết nối đã Bấm vào" xfId="192" builtinId="9" hidden="1"/>
    <cellStyle name="Siêu kết nối đã Bấm vào" xfId="193" builtinId="9" hidden="1"/>
    <cellStyle name="Siêu kết nối đã Bấm vào" xfId="194" builtinId="9" hidden="1"/>
    <cellStyle name="Siêu kết nối đã Bấm vào" xfId="195" builtinId="9" hidden="1"/>
    <cellStyle name="Siêu kết nối đã Bấm vào" xfId="196" builtinId="9" hidden="1"/>
    <cellStyle name="Siêu kết nối đã Bấm vào" xfId="197" builtinId="9" hidden="1"/>
    <cellStyle name="Siêu kết nối đã Bấm vào" xfId="198" builtinId="9" hidden="1"/>
    <cellStyle name="Siêu kết nối đã Bấm vào" xfId="199" builtinId="9" hidden="1"/>
  </cellStyles>
  <dxfs count="5">
    <dxf>
      <font>
        <color rgb="FF9C0006"/>
      </font>
    </dxf>
    <dxf>
      <numFmt numFmtId="167" formatCode="m/d/yyyy"/>
    </dxf>
    <dxf>
      <numFmt numFmtId="167"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4B0C727F-C025-4770-9ED1-7D22BDAA937C}">
      <tableStyleElement type="wholeTable" dxfId="4"/>
      <tableStyleElement type="headerRow" dxfId="3"/>
    </tableStyle>
  </tableStyles>
  <colors>
    <mruColors>
      <color rgb="FF009ED6"/>
      <color rgb="FF00DBE6"/>
      <color rgb="FFFF5050"/>
      <color rgb="FFA7E8FF"/>
      <color rgb="FF0066FF"/>
      <color rgb="FFDCF9A9"/>
      <color rgb="FFF0FFDD"/>
      <color rgb="FF4472C4"/>
      <color rgb="FF6DD9FF"/>
      <color rgb="FFA6F02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vi-V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vi-VN"/>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s>
    <c:plotArea>
      <c:layout/>
      <c:pieChart>
        <c:varyColors val="1"/>
        <c:ser>
          <c:idx val="0"/>
          <c:order val="0"/>
          <c:tx>
            <c:strRef>
              <c:f>PivotSheet!$B$4</c:f>
              <c:strCache>
                <c:ptCount val="1"/>
                <c:pt idx="0">
                  <c:v>Tổng</c:v>
                </c:pt>
              </c:strCache>
            </c:strRef>
          </c:tx>
          <c:cat>
            <c:strRef>
              <c:f>PivotSheet!$A$5:$A$6</c:f>
              <c:strCache>
                <c:ptCount val="2"/>
                <c:pt idx="0">
                  <c:v>Completed</c:v>
                </c:pt>
                <c:pt idx="1">
                  <c:v>Overdue</c:v>
                </c:pt>
              </c:strCache>
            </c:strRef>
          </c:cat>
          <c:val>
            <c:numRef>
              <c:f>PivotSheet!$B$5:$B$6</c:f>
              <c:numCache>
                <c:formatCode>General</c:formatCode>
                <c:ptCount val="2"/>
                <c:pt idx="0">
                  <c:v>5</c:v>
                </c:pt>
                <c:pt idx="1">
                  <c:v>6</c:v>
                </c:pt>
              </c:numCache>
            </c:numRef>
          </c:val>
          <c:extLst>
            <c:ext xmlns:c16="http://schemas.microsoft.com/office/drawing/2014/chart" uri="{C3380CC4-5D6E-409C-BE32-E72D297353CC}">
              <c16:uniqueId val="{00000000-7EF3-4DAB-B9C4-86F6D8F1A58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vi-VN"/>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pivotFmt>
    </c:pivotFmts>
    <c:plotArea>
      <c:layout/>
      <c:doughnutChart>
        <c:varyColors val="1"/>
        <c:ser>
          <c:idx val="0"/>
          <c:order val="0"/>
          <c:tx>
            <c:strRef>
              <c:f>PivotSheet!$L$4</c:f>
              <c:strCache>
                <c:ptCount val="1"/>
                <c:pt idx="0">
                  <c:v>Tổng</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9A-4398-BBC7-94AC8B3B92B4}"/>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239A-4398-BBC7-94AC8B3B92B4}"/>
              </c:ext>
            </c:extLst>
          </c:dPt>
          <c:dPt>
            <c:idx val="2"/>
            <c:bubble3D val="0"/>
            <c:spPr>
              <a:solidFill>
                <a:schemeClr val="accent1"/>
              </a:solidFill>
              <a:ln w="19050">
                <a:solidFill>
                  <a:schemeClr val="lt1"/>
                </a:solidFill>
              </a:ln>
              <a:effectLst/>
            </c:spPr>
            <c:extLst>
              <c:ext xmlns:c16="http://schemas.microsoft.com/office/drawing/2014/chart" uri="{C3380CC4-5D6E-409C-BE32-E72D297353CC}">
                <c16:uniqueId val="{00000005-239A-4398-BBC7-94AC8B3B92B4}"/>
              </c:ext>
            </c:extLst>
          </c:dPt>
          <c:cat>
            <c:strRef>
              <c:f>PivotSheet!$K$5:$K$7</c:f>
              <c:strCache>
                <c:ptCount val="3"/>
                <c:pt idx="0">
                  <c:v>HIGH</c:v>
                </c:pt>
                <c:pt idx="1">
                  <c:v>LOW</c:v>
                </c:pt>
                <c:pt idx="2">
                  <c:v>NORMAL</c:v>
                </c:pt>
              </c:strCache>
            </c:strRef>
          </c:cat>
          <c:val>
            <c:numRef>
              <c:f>PivotSheet!$L$5:$L$7</c:f>
              <c:numCache>
                <c:formatCode>General</c:formatCode>
                <c:ptCount val="3"/>
                <c:pt idx="0">
                  <c:v>1</c:v>
                </c:pt>
                <c:pt idx="1">
                  <c:v>1</c:v>
                </c:pt>
                <c:pt idx="2">
                  <c:v>9</c:v>
                </c:pt>
              </c:numCache>
            </c:numRef>
          </c:val>
          <c:extLst>
            <c:ext xmlns:c16="http://schemas.microsoft.com/office/drawing/2014/chart" uri="{C3380CC4-5D6E-409C-BE32-E72D297353CC}">
              <c16:uniqueId val="{00000004-6643-4D23-AF11-0F7A3CBC92A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vi-VN"/>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vi-VN"/>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vi-VN"/>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Tổng</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vi-VN"/>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"$"#,##0.00</c:formatCode>
                <c:ptCount val="3"/>
                <c:pt idx="0">
                  <c:v>325000</c:v>
                </c:pt>
                <c:pt idx="1">
                  <c:v>318000</c:v>
                </c:pt>
                <c:pt idx="2">
                  <c:v>171100</c:v>
                </c:pt>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04161712"/>
        <c:crosses val="autoZero"/>
        <c:auto val="1"/>
        <c:lblAlgn val="ctr"/>
        <c:lblOffset val="100"/>
        <c:noMultiLvlLbl val="0"/>
      </c:catAx>
      <c:valAx>
        <c:axId val="704161712"/>
        <c:scaling>
          <c:orientation val="minMax"/>
        </c:scaling>
        <c:delete val="1"/>
        <c:axPos val="b"/>
        <c:numFmt formatCode="&quot;$&quot;#,##0.0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hyperlink" Target="https://www.ganttexcel.com/blocked-macros-enable-macros-in-microsoft-excel-microsoft-office/" TargetMode="Externa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226695</xdr:colOff>
      <xdr:row>32</xdr:row>
      <xdr:rowOff>152400</xdr:rowOff>
    </xdr:from>
    <xdr:to>
      <xdr:col>6</xdr:col>
      <xdr:colOff>1030605</xdr:colOff>
      <xdr:row>41</xdr:row>
      <xdr:rowOff>81916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02995" y="6004560"/>
          <a:ext cx="5474970" cy="1575436"/>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1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1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1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1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1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144780</xdr:colOff>
          <xdr:row>1</xdr:row>
          <xdr:rowOff>22860</xdr:rowOff>
        </xdr:from>
        <xdr:to>
          <xdr:col>5</xdr:col>
          <xdr:colOff>678180</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vi-VN" sz="1100" b="0" i="0" u="none" strike="noStrike" baseline="0">
                  <a:solidFill>
                    <a:srgbClr val="000000"/>
                  </a:solidFill>
                  <a:latin typeface="Calibri"/>
                  <a:ea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1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TaskPriority">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TaskCosts">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1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1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200-000002000000}"/>
            </a:ext>
          </a:extLst>
        </xdr:cNvPr>
        <xdr:cNvSpPr/>
      </xdr:nvSpPr>
      <xdr:spPr>
        <a:xfrm>
          <a:off x="718185" y="1442085"/>
          <a:ext cx="5507355" cy="150304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61</xdr:col>
      <xdr:colOff>0</xdr:colOff>
      <xdr:row>5</xdr:row>
      <xdr:rowOff>50800</xdr:rowOff>
    </xdr:from>
    <xdr:to>
      <xdr:col>72</xdr:col>
      <xdr:colOff>808991</xdr:colOff>
      <xdr:row>6</xdr:row>
      <xdr:rowOff>0</xdr:rowOff>
    </xdr:to>
    <xdr:sp macro="" textlink="">
      <xdr:nvSpPr>
        <xdr:cNvPr id="17" name="ST_Mo_20/10/2025">
          <a:extLst>
            <a:ext uri="{FF2B5EF4-FFF2-40B4-BE49-F238E27FC236}">
              <a16:creationId xmlns:a16="http://schemas.microsoft.com/office/drawing/2014/main" id="{31B8491D-299B-C398-B12B-3F5EA14EFBF3}"/>
            </a:ext>
          </a:extLst>
        </xdr:cNvPr>
        <xdr:cNvSpPr/>
      </xdr:nvSpPr>
      <xdr:spPr>
        <a:xfrm>
          <a:off x="11079480" y="50800"/>
          <a:ext cx="9777731" cy="330200"/>
        </a:xfrm>
        <a:prstGeom prst="round2SameRect">
          <a:avLst/>
        </a:prstGeom>
        <a:solidFill>
          <a:srgbClr val="FFFFFF"/>
        </a:solidFill>
        <a:ln>
          <a:solidFill>
            <a:srgbClr val="009ED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vi-VN" sz="1400">
              <a:solidFill>
                <a:srgbClr val="009ED6"/>
              </a:solidFill>
            </a:rPr>
            <a:t>Tháng Mười-2025</a:t>
          </a:r>
        </a:p>
      </xdr:txBody>
    </xdr:sp>
    <xdr:clientData/>
  </xdr:twoCellAnchor>
  <xdr:twoCellAnchor>
    <xdr:from>
      <xdr:col>73</xdr:col>
      <xdr:colOff>1</xdr:colOff>
      <xdr:row>5</xdr:row>
      <xdr:rowOff>50800</xdr:rowOff>
    </xdr:from>
    <xdr:to>
      <xdr:col>95</xdr:col>
      <xdr:colOff>808989</xdr:colOff>
      <xdr:row>6</xdr:row>
      <xdr:rowOff>0</xdr:rowOff>
    </xdr:to>
    <xdr:sp macro="" textlink="">
      <xdr:nvSpPr>
        <xdr:cNvPr id="18" name="ST_Mo_01/11/2025">
          <a:extLst>
            <a:ext uri="{FF2B5EF4-FFF2-40B4-BE49-F238E27FC236}">
              <a16:creationId xmlns:a16="http://schemas.microsoft.com/office/drawing/2014/main" id="{F7BB632B-CF41-05DA-B165-50D216DC5AD4}"/>
            </a:ext>
          </a:extLst>
        </xdr:cNvPr>
        <xdr:cNvSpPr/>
      </xdr:nvSpPr>
      <xdr:spPr>
        <a:xfrm>
          <a:off x="20863561" y="50800"/>
          <a:ext cx="18746468" cy="330200"/>
        </a:xfrm>
        <a:prstGeom prst="round2SameRect">
          <a:avLst/>
        </a:prstGeom>
        <a:solidFill>
          <a:srgbClr val="FFFFFF"/>
        </a:solidFill>
        <a:ln>
          <a:solidFill>
            <a:srgbClr val="009ED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vi-VN" sz="1400">
              <a:solidFill>
                <a:srgbClr val="009ED6"/>
              </a:solidFill>
            </a:rPr>
            <a:t>Tháng Mười Một-2025</a:t>
          </a:r>
        </a:p>
      </xdr:txBody>
    </xdr:sp>
    <xdr:clientData/>
  </xdr:twoCellAnchor>
  <xdr:twoCellAnchor>
    <xdr:from>
      <xdr:col>8</xdr:col>
      <xdr:colOff>129540</xdr:colOff>
      <xdr:row>5</xdr:row>
      <xdr:rowOff>76200</xdr:rowOff>
    </xdr:from>
    <xdr:to>
      <xdr:col>13</xdr:col>
      <xdr:colOff>195580</xdr:colOff>
      <xdr:row>6</xdr:row>
      <xdr:rowOff>12700</xdr:rowOff>
    </xdr:to>
    <xdr:sp macro="LoadNewGanttFormOnDblClick" textlink="">
      <xdr:nvSpPr>
        <xdr:cNvPr id="32" name="SG_Project">
          <a:extLst>
            <a:ext uri="{FF2B5EF4-FFF2-40B4-BE49-F238E27FC236}">
              <a16:creationId xmlns:a16="http://schemas.microsoft.com/office/drawing/2014/main" id="{A96E9F25-0EC8-FBF7-0209-3A1C5BDD3500}"/>
            </a:ext>
          </a:extLst>
        </xdr:cNvPr>
        <xdr:cNvSpPr/>
      </xdr:nvSpPr>
      <xdr:spPr>
        <a:xfrm>
          <a:off x="335280" y="76200"/>
          <a:ext cx="5080000" cy="317500"/>
        </a:xfrm>
        <a:prstGeom prst="round2SameRect">
          <a:avLst/>
        </a:prstGeom>
        <a:solidFill>
          <a:srgbClr val="FFFFFF"/>
        </a:solidFill>
        <a:ln w="12700" cap="flat" cmpd="sng" algn="ctr">
          <a:noFill/>
          <a:prstDash val="solid"/>
          <a:miter lim="800000"/>
        </a:ln>
        <a:effectLst>
          <a:outerShdw blurRad="57785" dist="33020" dir="3179975">
            <a:srgbClr val="000000">
              <a:alpha val="30000"/>
            </a:srgbClr>
          </a:outerShdw>
        </a:effectLst>
        <a:scene3d>
          <a:camera prst="orthographicFront"/>
          <a:lightRig rig="brightRoom" dir="t">
            <a:rot lat="0" lon="0" rev="600000"/>
          </a:lightRig>
        </a:scene3d>
        <a:sp3d>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vi-VN" sz="1800">
              <a:solidFill>
                <a:srgbClr val="009ED6"/>
              </a:solidFill>
            </a:rPr>
            <a:t>Xây Dựng Ứng Dụng Quản Lý Sinh Viên</a:t>
          </a:r>
        </a:p>
      </xdr:txBody>
    </xdr:sp>
    <xdr:clientData/>
  </xdr:twoCellAnchor>
  <xdr:twoCellAnchor>
    <xdr:from>
      <xdr:col>61</xdr:col>
      <xdr:colOff>12700</xdr:colOff>
      <xdr:row>7</xdr:row>
      <xdr:rowOff>0</xdr:rowOff>
    </xdr:from>
    <xdr:to>
      <xdr:col>61</xdr:col>
      <xdr:colOff>13970</xdr:colOff>
      <xdr:row>24</xdr:row>
      <xdr:rowOff>0</xdr:rowOff>
    </xdr:to>
    <xdr:sp macro="" textlink="">
      <xdr:nvSpPr>
        <xdr:cNvPr id="35" name="ST_Today_LineLeft">
          <a:extLst>
            <a:ext uri="{FF2B5EF4-FFF2-40B4-BE49-F238E27FC236}">
              <a16:creationId xmlns:a16="http://schemas.microsoft.com/office/drawing/2014/main" id="{4A4E0244-585C-C43A-4A6A-BE75EF0B9B78}"/>
            </a:ext>
          </a:extLst>
        </xdr:cNvPr>
        <xdr:cNvSpPr/>
      </xdr:nvSpPr>
      <xdr:spPr>
        <a:xfrm>
          <a:off x="11092180" y="556260"/>
          <a:ext cx="1270" cy="3909060"/>
        </a:xfrm>
        <a:prstGeom prst="rect">
          <a:avLst/>
        </a:prstGeom>
        <a:ln w="1270">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61</xdr:col>
      <xdr:colOff>269240</xdr:colOff>
      <xdr:row>7</xdr:row>
      <xdr:rowOff>0</xdr:rowOff>
    </xdr:from>
    <xdr:to>
      <xdr:col>61</xdr:col>
      <xdr:colOff>270509</xdr:colOff>
      <xdr:row>24</xdr:row>
      <xdr:rowOff>0</xdr:rowOff>
    </xdr:to>
    <xdr:sp macro="" textlink="">
      <xdr:nvSpPr>
        <xdr:cNvPr id="36" name="ST_Today_LineRight">
          <a:extLst>
            <a:ext uri="{FF2B5EF4-FFF2-40B4-BE49-F238E27FC236}">
              <a16:creationId xmlns:a16="http://schemas.microsoft.com/office/drawing/2014/main" id="{E6CF849C-2853-63CE-7522-630DA4B7FFBD}"/>
            </a:ext>
          </a:extLst>
        </xdr:cNvPr>
        <xdr:cNvSpPr/>
      </xdr:nvSpPr>
      <xdr:spPr>
        <a:xfrm>
          <a:off x="11348720" y="556260"/>
          <a:ext cx="1269" cy="3909060"/>
        </a:xfrm>
        <a:prstGeom prst="rect">
          <a:avLst/>
        </a:prstGeom>
        <a:ln w="1270">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10</xdr:col>
      <xdr:colOff>0</xdr:colOff>
      <xdr:row>9</xdr:row>
      <xdr:rowOff>50800</xdr:rowOff>
    </xdr:from>
    <xdr:to>
      <xdr:col>19</xdr:col>
      <xdr:colOff>929640</xdr:colOff>
      <xdr:row>12</xdr:row>
      <xdr:rowOff>0</xdr:rowOff>
    </xdr:to>
    <xdr:sp macro="" textlink="">
      <xdr:nvSpPr>
        <xdr:cNvPr id="37" name="SG_EnableMacrosButton">
          <a:hlinkClick xmlns:r="http://schemas.openxmlformats.org/officeDocument/2006/relationships" r:id="rId1" tooltip="Enable Macros"/>
          <a:extLst>
            <a:ext uri="{FF2B5EF4-FFF2-40B4-BE49-F238E27FC236}">
              <a16:creationId xmlns:a16="http://schemas.microsoft.com/office/drawing/2014/main" id="{EC27A932-5126-847C-A3D4-5928BCD27E44}"/>
            </a:ext>
          </a:extLst>
        </xdr:cNvPr>
        <xdr:cNvSpPr/>
      </xdr:nvSpPr>
      <xdr:spPr>
        <a:xfrm>
          <a:off x="922020" y="1087120"/>
          <a:ext cx="7620000" cy="635000"/>
        </a:xfrm>
        <a:prstGeom prst="roundRect">
          <a:avLst/>
        </a:prstGeom>
        <a:solidFill>
          <a:srgbClr val="FF00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vi-VN" sz="1400">
              <a:solidFill>
                <a:srgbClr val="FFFFFF"/>
              </a:solidFill>
            </a:rPr>
            <a:t>Automation Off - Enable Macros to Continue. Click Here for Help.</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4d" refreshedDate="45742.445656481483" createdVersion="7" refreshedVersion="8" minRefreshableVersion="3" recordCount="96" xr:uid="{13ED83AE-FFFB-4DD8-8004-9C646FBE23B3}">
  <cacheSource type="worksheet">
    <worksheetSource name="DashboardTable"/>
  </cacheSource>
  <cacheFields count="58">
    <cacheField name="ProjectID" numFmtId="0">
      <sharedItems containsSemiMixedTypes="0" containsString="0" containsNumber="1" containsInteger="1" minValue="1" maxValue="6"/>
    </cacheField>
    <cacheField name="dType" numFmtId="0">
      <sharedItems containsBlank="1" count="7">
        <s v="MP"/>
        <s v="SP"/>
        <s v="C"/>
        <s v="M"/>
        <s v="T"/>
        <m u="1"/>
        <s v="dType" u="1"/>
      </sharedItems>
    </cacheField>
    <cacheField name="GEType" numFmtId="0">
      <sharedItems count="2">
        <s v="T"/>
        <s v="M"/>
      </sharedItems>
    </cacheField>
    <cacheField name="TID" numFmtId="0">
      <sharedItems containsSemiMixedTypes="0" containsString="0" containsNumber="1" containsInteger="1" minValue="1" maxValue="42"/>
    </cacheField>
    <cacheField name="Dependency" numFmtId="0">
      <sharedItems containsBlank="1"/>
    </cacheField>
    <cacheField name="Dependents" numFmtId="0">
      <sharedItems containsBlank="1"/>
    </cacheField>
    <cacheField name="StartConstrain" numFmtId="0">
      <sharedItems containsString="0" containsBlank="1" containsNumber="1" containsInteger="1" minValue="45708" maxValue="45735"/>
    </cacheField>
    <cacheField name="EndConstrain" numFmtId="0">
      <sharedItems containsNonDate="0" containsString="0" containsBlank="1"/>
    </cacheField>
    <cacheField name="TIL" numFmtId="0">
      <sharedItems containsSemiMixedTypes="0" containsString="0" containsNumber="1" containsInteger="1" minValue="0" maxValue="2"/>
    </cacheField>
    <cacheField name="SS" numFmtId="0">
      <sharedItems containsNonDate="0" containsString="0" containsBlank="1"/>
    </cacheField>
    <cacheField name="TaskIcon" numFmtId="0">
      <sharedItems/>
    </cacheField>
    <cacheField name="WBS" numFmtId="0">
      <sharedItems containsMixedTypes="1" containsNumber="1" minValue="1" maxValue="15"/>
    </cacheField>
    <cacheField name="Task" numFmtId="0">
      <sharedItems/>
    </cacheField>
    <cacheField name="Priority" numFmtId="0">
      <sharedItems containsBlank="1" count="4">
        <s v="NORMAL"/>
        <s v="HIGH"/>
        <s v="LOW"/>
        <m u="1"/>
      </sharedItems>
    </cacheField>
    <cacheField name="Status" numFmtId="0">
      <sharedItems containsBlank="1" count="5">
        <s v="Completed"/>
        <s v="Overdue"/>
        <s v="Planned"/>
        <s v="InProgress" u="1"/>
        <m u="1"/>
      </sharedItems>
    </cacheField>
    <cacheField name="Resource" numFmtId="0">
      <sharedItems containsBlank="1" count="65">
        <s v="Adam"/>
        <s v="Matthew"/>
        <s v="Adrian"/>
        <s v="Danny"/>
        <s v="Gary"/>
        <s v="Toby"/>
        <s v="Sara"/>
        <s v="Celine"/>
        <m/>
        <s v="Organization, CREATIVO" u="1"/>
        <s v="MANAGER" u="1"/>
        <s v="IT" u="1"/>
        <s v="ESTRATEGIA" u="1"/>
        <s v="CREATIVO" u="1"/>
        <s v="Humfleet Wendy" u="1"/>
        <s v="Unique Drywall" u="1"/>
        <s v="Newton Painting" u="1"/>
        <s v="JR" u="1"/>
        <s v="Olimpia Stucco" u="1"/>
        <s v="Service Tech" u="1"/>
        <s v="INFRA General, Cloud Team" u="1"/>
        <s v="Sys Team" u="1"/>
        <s v="BP Banister" u="1"/>
        <s v="Jeff Faye" u="1"/>
        <s v="Cloud Team" u="1"/>
        <s v="Knotty Woodworks" u="1"/>
        <s v="Lopez Wild Dianne" u="1"/>
        <s v="dfg" u="1"/>
        <s v="MHC, Cerner" u="1"/>
        <s v="Flash Electrical" u="1"/>
        <s v="TP Hyperion" u="1"/>
        <s v="TP NGINX, INFRA General, AU infra team, AU web team" u="1"/>
        <s v="Trim Rite Mfg" u="1"/>
        <s v="SS" u="1"/>
        <s v="AC Flooring" u="1"/>
        <s v="Kuschell Andre" u="1"/>
        <s v="Majestic Cab's" u="1"/>
        <s v="INFRA General" u="1"/>
        <s v="TP One Platform" u="1"/>
        <s v="Ops" u="1"/>
        <s v="Shiley Kayla -Cerner" u="1"/>
        <s v="Derrick G" u="1"/>
        <s v="Marv J" u="1"/>
        <s v="TP One Platform, TP Hyperion" u="1"/>
        <s v="Jim" u="1"/>
        <s v="TP GATE" u="1"/>
        <s v="Derrick G, Brody M" u="1"/>
        <s v="GE One pipeline" u="1"/>
        <s v="Walworth  Andrea" u="1"/>
        <s v="Pristine - C/tops" u="1"/>
        <s v="TP NGINX" u="1"/>
        <s v="Pristine C/tops" u="1"/>
        <s v="King Denise" u="1"/>
        <s v="Client" u="1"/>
        <s v="Morehouse Mitch" u="1"/>
        <s v="Delta Coring" u="1"/>
        <s v="Cerner, MHC" u="1"/>
        <s v="Cloud Team, INFRA General"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Date="1" containsString="0" containsBlank="1" minDate="2025-02-17T00:00:00" maxDate="2025-02-25T00:00:00"/>
    </cacheField>
    <cacheField name="BED" numFmtId="0">
      <sharedItems containsNonDate="0" containsDate="1" containsString="0" containsBlank="1" minDate="2025-02-18T00:00:00" maxDate="2025-02-27T00:00:00"/>
    </cacheField>
    <cacheField name="BD" numFmtId="0">
      <sharedItems containsString="0" containsBlank="1" containsNumber="1" containsInteger="1" minValue="0" maxValue="3"/>
    </cacheField>
    <cacheField name="ESD" numFmtId="0">
      <sharedItems containsSemiMixedTypes="0" containsNonDate="0" containsDate="1" containsString="0" minDate="2025-02-17T00:00:00" maxDate="2025-04-10T00:00:00"/>
    </cacheField>
    <cacheField name="EED" numFmtId="0">
      <sharedItems containsSemiMixedTypes="0" containsNonDate="0" containsDate="1" containsString="0" minDate="2025-02-21T00:00:00" maxDate="2025-04-16T00:00:00" count="32">
        <d v="2025-02-23T00:00:00"/>
        <d v="2025-02-21T00:00:00"/>
        <d v="2025-02-22T00:00:00"/>
        <d v="2025-03-09T00:00:00"/>
        <d v="2025-03-01T00:00:00"/>
        <d v="2025-02-27T00:00:00"/>
        <d v="2025-03-06T00:00:00"/>
        <d v="2025-03-08T00:00:00"/>
        <d v="2025-03-12T00:00:00"/>
        <d v="2025-03-14T00:00:00"/>
        <d v="2025-03-15T00:00:00"/>
        <d v="2025-03-21T00:00:00"/>
        <d v="2025-03-03T00:00:00"/>
        <d v="2025-03-11T00:00:00"/>
        <d v="2025-03-04T00:00:00"/>
        <d v="2025-03-07T00:00:00"/>
        <d v="2025-03-13T00:00:00"/>
        <d v="2025-03-16T00:00:00"/>
        <d v="2025-03-11T15:00:00"/>
        <d v="2025-03-12T16:00:00"/>
        <d v="2025-03-11T16:00:00"/>
        <d v="2025-03-18T00:00:00"/>
        <d v="2025-03-25T00:00:00"/>
        <d v="2025-04-01T00:00:00"/>
        <d v="2025-04-08T00:00:00"/>
        <d v="2025-04-15T00:00:00"/>
        <d v="2025-02-24T00:00:00"/>
        <d v="2025-03-10T00:00:00"/>
        <d v="2025-02-26T00:00:00"/>
        <d v="2025-02-25T00:00:00"/>
        <d v="2025-03-02T00:00:00"/>
        <d v="2025-03-19T00:00:00"/>
      </sharedItems>
      <fieldGroup par="57" base="21">
        <rangePr groupBy="days" startDate="2025-02-21T00:00:00" endDate="2025-04-16T00:00:00"/>
        <groupItems count="368">
          <s v="&lt;2/21/2025"/>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4/16/2025"/>
        </groupItems>
      </fieldGroup>
    </cacheField>
    <cacheField name="ED" numFmtId="0">
      <sharedItems containsSemiMixedTypes="0" containsString="0" containsNumber="1" containsInteger="1" minValue="0" maxValue="40"/>
    </cacheField>
    <cacheField name="WBSPredecessors" numFmtId="0">
      <sharedItems containsNonDate="0" containsString="0" containsBlank="1"/>
    </cacheField>
    <cacheField name="WBSSuccessors" numFmtId="0">
      <sharedItems containsNonDate="0" containsString="0" containsBlank="1"/>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Date="1" containsString="0" containsBlank="1" minDate="2025-02-20T00:00:00" maxDate="2025-02-25T00:00:00"/>
    </cacheField>
    <cacheField name="AED" numFmtId="0">
      <sharedItems containsNonDate="0" containsDate="1" containsString="0" containsBlank="1" minDate="2025-02-20T00:00:00" maxDate="2025-03-01T00:00:00"/>
    </cacheField>
    <cacheField name="AD" numFmtId="0">
      <sharedItems containsString="0" containsBlank="1" containsNumber="1" containsInteger="1" minValue="0" maxValue="5"/>
    </cacheField>
    <cacheField name="BCS" numFmtId="0">
      <sharedItems containsString="0" containsBlank="1" containsNumber="1" containsInteger="1" minValue="25000" maxValue="300000"/>
    </cacheField>
    <cacheField name="ECS" numFmtId="0">
      <sharedItems containsString="0" containsBlank="1" containsNumber="1" containsInteger="1" minValue="2700" maxValue="201800"/>
    </cacheField>
    <cacheField name="ACS" numFmtId="0">
      <sharedItems containsString="0" containsBlank="1" containsNumber="1" containsInteger="1" minValue="42500" maxValue="128600"/>
    </cacheField>
    <cacheField name="Notes"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ntainsBlank="1" count="4">
        <b v="1"/>
        <b v="0"/>
        <m u="1"/>
        <e v="#REF!" u="1"/>
      </sharedItems>
    </cacheField>
    <cacheField name="Months" numFmtId="0" databaseField="0">
      <fieldGroup base="21">
        <rangePr groupBy="months" startDate="2025-02-21T00:00:00" endDate="2025-04-16T00:00:00"/>
        <groupItems count="14">
          <s v="&lt;2/21/2025"/>
          <s v="Jan"/>
          <s v="Feb"/>
          <s v="Mar"/>
          <s v="Apr"/>
          <s v="May"/>
          <s v="Jun"/>
          <s v="Jul"/>
          <s v="Aug"/>
          <s v="Sep"/>
          <s v="Oct"/>
          <s v="Nov"/>
          <s v="Dec"/>
          <s v="&gt;4/16/2025"/>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
  <r>
    <n v="1"/>
    <x v="0"/>
    <x v="0"/>
    <n v="1"/>
    <m/>
    <m/>
    <m/>
    <m/>
    <n v="0"/>
    <m/>
    <s v="u"/>
    <n v="1"/>
    <s v="Architectural Design"/>
    <x v="0"/>
    <x v="0"/>
    <x v="0"/>
    <m/>
    <m/>
    <m/>
    <m/>
    <d v="2025-02-17T00:00:00"/>
    <x v="0"/>
    <n v="5"/>
    <m/>
    <m/>
    <m/>
    <n v="100"/>
    <n v="1"/>
    <m/>
    <m/>
    <m/>
    <n v="300000"/>
    <n v="2700"/>
    <n v="128600"/>
    <m/>
    <m/>
    <m/>
    <m/>
    <m/>
    <m/>
    <m/>
    <m/>
    <m/>
    <m/>
    <m/>
    <m/>
    <m/>
    <m/>
    <m/>
    <m/>
    <m/>
    <m/>
    <m/>
    <m/>
    <m/>
    <m/>
    <x v="0"/>
  </r>
  <r>
    <n v="1"/>
    <x v="1"/>
    <x v="0"/>
    <n v="2"/>
    <m/>
    <m/>
    <m/>
    <m/>
    <n v="1"/>
    <m/>
    <s v="u"/>
    <n v="1.1000000000000001"/>
    <s v="Create draft of architecture"/>
    <x v="0"/>
    <x v="0"/>
    <x v="0"/>
    <m/>
    <m/>
    <m/>
    <m/>
    <d v="2025-02-17T00:00:00"/>
    <x v="1"/>
    <n v="4"/>
    <m/>
    <m/>
    <m/>
    <n v="100"/>
    <n v="1"/>
    <m/>
    <m/>
    <m/>
    <m/>
    <n v="2700"/>
    <m/>
    <m/>
    <m/>
    <m/>
    <m/>
    <m/>
    <m/>
    <m/>
    <m/>
    <m/>
    <m/>
    <m/>
    <m/>
    <m/>
    <m/>
    <m/>
    <m/>
    <m/>
    <m/>
    <m/>
    <m/>
    <m/>
    <m/>
    <x v="0"/>
  </r>
  <r>
    <n v="1"/>
    <x v="2"/>
    <x v="0"/>
    <n v="4"/>
    <m/>
    <s v="3|"/>
    <m/>
    <m/>
    <n v="2"/>
    <m/>
    <s v="u"/>
    <s v="1.1.1"/>
    <s v="Prepare construction documents"/>
    <x v="0"/>
    <x v="0"/>
    <x v="1"/>
    <m/>
    <m/>
    <m/>
    <m/>
    <d v="2025-02-17T00:00:00"/>
    <x v="1"/>
    <n v="4"/>
    <m/>
    <m/>
    <m/>
    <n v="100"/>
    <n v="1"/>
    <m/>
    <m/>
    <m/>
    <m/>
    <n v="2700"/>
    <m/>
    <m/>
    <m/>
    <m/>
    <m/>
    <m/>
    <m/>
    <m/>
    <m/>
    <m/>
    <m/>
    <m/>
    <m/>
    <m/>
    <m/>
    <m/>
    <m/>
    <m/>
    <m/>
    <m/>
    <m/>
    <m/>
    <m/>
    <x v="0"/>
  </r>
  <r>
    <n v="1"/>
    <x v="2"/>
    <x v="0"/>
    <n v="3"/>
    <s v="4_FS_0|"/>
    <s v="6|"/>
    <n v="45710"/>
    <m/>
    <n v="1"/>
    <m/>
    <s v="u"/>
    <n v="1.2"/>
    <s v="Agreement to architectural plan"/>
    <x v="0"/>
    <x v="0"/>
    <x v="0"/>
    <m/>
    <m/>
    <m/>
    <m/>
    <d v="2025-02-22T00:00:00"/>
    <x v="2"/>
    <n v="1"/>
    <m/>
    <m/>
    <m/>
    <n v="100"/>
    <n v="1"/>
    <m/>
    <m/>
    <m/>
    <m/>
    <m/>
    <m/>
    <m/>
    <m/>
    <m/>
    <m/>
    <m/>
    <m/>
    <m/>
    <m/>
    <m/>
    <m/>
    <m/>
    <m/>
    <m/>
    <m/>
    <m/>
    <m/>
    <m/>
    <m/>
    <m/>
    <m/>
    <m/>
    <m/>
    <x v="0"/>
  </r>
  <r>
    <n v="1"/>
    <x v="3"/>
    <x v="1"/>
    <n v="6"/>
    <s v="3_FS_0|"/>
    <s v="9|"/>
    <n v="45711"/>
    <m/>
    <n v="1"/>
    <m/>
    <s v="u"/>
    <n v="1.3"/>
    <s v="Sign agreement with Client"/>
    <x v="1"/>
    <x v="0"/>
    <x v="0"/>
    <m/>
    <m/>
    <m/>
    <m/>
    <d v="2025-02-23T00:00:00"/>
    <x v="0"/>
    <n v="0"/>
    <m/>
    <m/>
    <m/>
    <n v="100"/>
    <n v="1"/>
    <m/>
    <m/>
    <m/>
    <n v="300000"/>
    <m/>
    <n v="128600"/>
    <m/>
    <m/>
    <m/>
    <m/>
    <m/>
    <m/>
    <m/>
    <m/>
    <m/>
    <m/>
    <m/>
    <m/>
    <m/>
    <m/>
    <m/>
    <m/>
    <m/>
    <m/>
    <m/>
    <m/>
    <m/>
    <m/>
    <x v="0"/>
  </r>
  <r>
    <n v="1"/>
    <x v="0"/>
    <x v="0"/>
    <n v="7"/>
    <m/>
    <m/>
    <m/>
    <m/>
    <n v="0"/>
    <m/>
    <s v="u"/>
    <n v="2"/>
    <s v="Construction Phase"/>
    <x v="0"/>
    <x v="1"/>
    <x v="0"/>
    <m/>
    <m/>
    <m/>
    <m/>
    <d v="2025-02-24T00:00:00"/>
    <x v="3"/>
    <n v="21"/>
    <m/>
    <m/>
    <m/>
    <n v="0"/>
    <n v="0.66666666666666652"/>
    <m/>
    <m/>
    <m/>
    <n v="25000"/>
    <n v="201800"/>
    <n v="42500"/>
    <m/>
    <m/>
    <m/>
    <m/>
    <m/>
    <m/>
    <m/>
    <m/>
    <m/>
    <m/>
    <m/>
    <m/>
    <m/>
    <m/>
    <m/>
    <m/>
    <m/>
    <m/>
    <m/>
    <m/>
    <m/>
    <m/>
    <x v="0"/>
  </r>
  <r>
    <n v="1"/>
    <x v="1"/>
    <x v="0"/>
    <n v="8"/>
    <m/>
    <m/>
    <m/>
    <m/>
    <n v="1"/>
    <m/>
    <s v="u"/>
    <n v="2.1"/>
    <s v="Foundation"/>
    <x v="0"/>
    <x v="0"/>
    <x v="2"/>
    <m/>
    <m/>
    <m/>
    <m/>
    <d v="2025-02-24T00:00:00"/>
    <x v="4"/>
    <n v="12"/>
    <m/>
    <m/>
    <m/>
    <n v="100"/>
    <n v="1"/>
    <m/>
    <m/>
    <m/>
    <n v="25000"/>
    <n v="73800"/>
    <n v="42500"/>
    <m/>
    <m/>
    <m/>
    <m/>
    <m/>
    <m/>
    <m/>
    <m/>
    <m/>
    <m/>
    <m/>
    <m/>
    <m/>
    <m/>
    <m/>
    <m/>
    <m/>
    <m/>
    <m/>
    <m/>
    <m/>
    <m/>
    <x v="0"/>
  </r>
  <r>
    <n v="1"/>
    <x v="2"/>
    <x v="0"/>
    <n v="9"/>
    <s v="6_FS_0|"/>
    <s v="10|"/>
    <n v="45712"/>
    <m/>
    <n v="2"/>
    <m/>
    <s v="u"/>
    <s v="2.1.1"/>
    <s v="Excavation"/>
    <x v="0"/>
    <x v="0"/>
    <x v="2"/>
    <m/>
    <m/>
    <m/>
    <m/>
    <d v="2025-02-24T00:00:00"/>
    <x v="5"/>
    <n v="4"/>
    <m/>
    <m/>
    <m/>
    <n v="100"/>
    <n v="1"/>
    <m/>
    <m/>
    <m/>
    <n v="25000"/>
    <n v="35000"/>
    <n v="42500"/>
    <m/>
    <m/>
    <m/>
    <m/>
    <m/>
    <m/>
    <m/>
    <m/>
    <m/>
    <m/>
    <m/>
    <m/>
    <m/>
    <m/>
    <m/>
    <m/>
    <m/>
    <m/>
    <m/>
    <m/>
    <m/>
    <m/>
    <x v="0"/>
  </r>
  <r>
    <n v="1"/>
    <x v="2"/>
    <x v="0"/>
    <n v="10"/>
    <s v="9_FS_-2|"/>
    <s v="11|"/>
    <n v="45714"/>
    <m/>
    <n v="2"/>
    <m/>
    <s v="u"/>
    <s v="2.1.2"/>
    <s v="Pour Concrete"/>
    <x v="0"/>
    <x v="0"/>
    <x v="3"/>
    <m/>
    <m/>
    <m/>
    <m/>
    <d v="2025-02-26T00:00:00"/>
    <x v="4"/>
    <n v="4"/>
    <m/>
    <m/>
    <m/>
    <n v="100"/>
    <n v="1"/>
    <m/>
    <m/>
    <m/>
    <m/>
    <n v="35000"/>
    <m/>
    <m/>
    <m/>
    <m/>
    <m/>
    <m/>
    <m/>
    <m/>
    <m/>
    <m/>
    <m/>
    <m/>
    <m/>
    <m/>
    <m/>
    <m/>
    <m/>
    <m/>
    <m/>
    <m/>
    <m/>
    <m/>
    <m/>
    <x v="0"/>
  </r>
  <r>
    <n v="1"/>
    <x v="2"/>
    <x v="0"/>
    <n v="11"/>
    <s v="10_SS_0|"/>
    <s v="13|"/>
    <n v="45714"/>
    <m/>
    <n v="2"/>
    <m/>
    <s v="u"/>
    <s v="2.1.3"/>
    <s v="Level Concrete"/>
    <x v="0"/>
    <x v="0"/>
    <x v="3"/>
    <m/>
    <m/>
    <m/>
    <m/>
    <d v="2025-02-26T00:00:00"/>
    <x v="4"/>
    <n v="4"/>
    <m/>
    <m/>
    <m/>
    <n v="100"/>
    <n v="1"/>
    <m/>
    <m/>
    <m/>
    <m/>
    <n v="3800"/>
    <m/>
    <m/>
    <m/>
    <m/>
    <m/>
    <m/>
    <m/>
    <m/>
    <m/>
    <m/>
    <m/>
    <m/>
    <m/>
    <m/>
    <m/>
    <m/>
    <m/>
    <m/>
    <m/>
    <m/>
    <m/>
    <m/>
    <m/>
    <x v="0"/>
  </r>
  <r>
    <n v="1"/>
    <x v="1"/>
    <x v="0"/>
    <n v="12"/>
    <m/>
    <m/>
    <m/>
    <m/>
    <n v="1"/>
    <m/>
    <s v="u"/>
    <n v="2.2000000000000002"/>
    <s v="Ground Floor"/>
    <x v="0"/>
    <x v="1"/>
    <x v="4"/>
    <m/>
    <m/>
    <m/>
    <m/>
    <d v="2025-03-02T00:00:00"/>
    <x v="3"/>
    <n v="9"/>
    <m/>
    <m/>
    <m/>
    <n v="0"/>
    <n v="0.33333333333333331"/>
    <m/>
    <m/>
    <m/>
    <m/>
    <n v="128000"/>
    <m/>
    <m/>
    <m/>
    <m/>
    <m/>
    <m/>
    <m/>
    <m/>
    <m/>
    <m/>
    <m/>
    <m/>
    <m/>
    <m/>
    <m/>
    <m/>
    <m/>
    <m/>
    <m/>
    <m/>
    <m/>
    <m/>
    <m/>
    <x v="0"/>
  </r>
  <r>
    <n v="1"/>
    <x v="2"/>
    <x v="0"/>
    <n v="13"/>
    <s v="11_FS_0|"/>
    <s v="19|14|"/>
    <n v="45718"/>
    <m/>
    <n v="2"/>
    <m/>
    <s v="u"/>
    <s v="2.2.1"/>
    <s v="Walls to 1st Floor"/>
    <x v="1"/>
    <x v="1"/>
    <x v="4"/>
    <m/>
    <m/>
    <m/>
    <m/>
    <d v="2025-03-02T00:00:00"/>
    <x v="6"/>
    <n v="4"/>
    <m/>
    <m/>
    <m/>
    <n v="0"/>
    <n v="0.5"/>
    <m/>
    <m/>
    <m/>
    <m/>
    <n v="65000"/>
    <m/>
    <m/>
    <m/>
    <m/>
    <m/>
    <m/>
    <m/>
    <m/>
    <m/>
    <m/>
    <m/>
    <m/>
    <m/>
    <m/>
    <m/>
    <m/>
    <m/>
    <m/>
    <m/>
    <m/>
    <m/>
    <m/>
    <m/>
    <x v="0"/>
  </r>
  <r>
    <n v="1"/>
    <x v="2"/>
    <x v="0"/>
    <n v="19"/>
    <s v="13_FS_0|"/>
    <m/>
    <n v="45723"/>
    <m/>
    <n v="2"/>
    <m/>
    <s v="u"/>
    <s v="2.2.2"/>
    <s v="Windows/ Doors"/>
    <x v="0"/>
    <x v="1"/>
    <x v="4"/>
    <m/>
    <m/>
    <m/>
    <m/>
    <d v="2025-03-07T00:00:00"/>
    <x v="7"/>
    <n v="2"/>
    <m/>
    <m/>
    <m/>
    <n v="0"/>
    <n v="0.25"/>
    <m/>
    <m/>
    <m/>
    <m/>
    <n v="47000"/>
    <m/>
    <m/>
    <m/>
    <m/>
    <m/>
    <m/>
    <m/>
    <m/>
    <m/>
    <m/>
    <m/>
    <m/>
    <m/>
    <m/>
    <m/>
    <m/>
    <m/>
    <m/>
    <m/>
    <m/>
    <m/>
    <m/>
    <m/>
    <x v="0"/>
  </r>
  <r>
    <n v="1"/>
    <x v="2"/>
    <x v="0"/>
    <n v="14"/>
    <s v="13_FS_0|"/>
    <s v="16|"/>
    <n v="45723"/>
    <m/>
    <n v="2"/>
    <m/>
    <s v="u"/>
    <s v="2.2.3"/>
    <s v="Roof structure"/>
    <x v="0"/>
    <x v="1"/>
    <x v="5"/>
    <m/>
    <m/>
    <m/>
    <m/>
    <d v="2025-03-07T00:00:00"/>
    <x v="3"/>
    <n v="3"/>
    <m/>
    <m/>
    <m/>
    <n v="0"/>
    <n v="0.25"/>
    <m/>
    <m/>
    <m/>
    <m/>
    <n v="16000"/>
    <m/>
    <m/>
    <m/>
    <m/>
    <m/>
    <m/>
    <m/>
    <m/>
    <m/>
    <m/>
    <m/>
    <m/>
    <m/>
    <m/>
    <m/>
    <m/>
    <m/>
    <m/>
    <m/>
    <m/>
    <m/>
    <m/>
    <m/>
    <x v="0"/>
  </r>
  <r>
    <n v="1"/>
    <x v="0"/>
    <x v="0"/>
    <n v="15"/>
    <m/>
    <m/>
    <m/>
    <m/>
    <n v="0"/>
    <m/>
    <s v="u"/>
    <n v="3"/>
    <s v="Decoration Phase"/>
    <x v="0"/>
    <x v="1"/>
    <x v="5"/>
    <m/>
    <m/>
    <m/>
    <m/>
    <d v="2025-03-10T00:00:00"/>
    <x v="8"/>
    <n v="6"/>
    <m/>
    <m/>
    <m/>
    <n v="0"/>
    <n v="0"/>
    <m/>
    <m/>
    <m/>
    <m/>
    <n v="93500"/>
    <m/>
    <m/>
    <m/>
    <m/>
    <m/>
    <m/>
    <m/>
    <m/>
    <m/>
    <m/>
    <m/>
    <m/>
    <m/>
    <m/>
    <m/>
    <m/>
    <m/>
    <m/>
    <m/>
    <m/>
    <m/>
    <m/>
    <m/>
    <x v="0"/>
  </r>
  <r>
    <n v="1"/>
    <x v="2"/>
    <x v="0"/>
    <n v="16"/>
    <s v="14_FS_0|"/>
    <s v="17|"/>
    <n v="45726"/>
    <m/>
    <n v="1"/>
    <m/>
    <s v="u"/>
    <n v="3.1"/>
    <s v="Walls and Tiles"/>
    <x v="0"/>
    <x v="1"/>
    <x v="4"/>
    <m/>
    <m/>
    <m/>
    <m/>
    <d v="2025-03-10T00:00:00"/>
    <x v="8"/>
    <n v="3"/>
    <m/>
    <m/>
    <m/>
    <n v="0"/>
    <n v="0"/>
    <m/>
    <m/>
    <m/>
    <m/>
    <n v="13500"/>
    <m/>
    <m/>
    <m/>
    <m/>
    <m/>
    <m/>
    <m/>
    <m/>
    <m/>
    <m/>
    <m/>
    <m/>
    <m/>
    <m/>
    <m/>
    <m/>
    <m/>
    <m/>
    <m/>
    <m/>
    <m/>
    <m/>
    <m/>
    <x v="0"/>
  </r>
  <r>
    <n v="1"/>
    <x v="2"/>
    <x v="0"/>
    <n v="17"/>
    <s v="16_SS_0|"/>
    <s v="18|"/>
    <n v="45726"/>
    <m/>
    <n v="1"/>
    <m/>
    <s v="u"/>
    <n v="3.2"/>
    <s v="Interiors/ Furniture"/>
    <x v="2"/>
    <x v="1"/>
    <x v="6"/>
    <m/>
    <m/>
    <m/>
    <m/>
    <d v="2025-03-10T00:00:00"/>
    <x v="8"/>
    <n v="3"/>
    <m/>
    <m/>
    <m/>
    <n v="0"/>
    <n v="0"/>
    <m/>
    <m/>
    <m/>
    <m/>
    <n v="80000"/>
    <m/>
    <m/>
    <m/>
    <m/>
    <m/>
    <m/>
    <m/>
    <m/>
    <m/>
    <m/>
    <m/>
    <m/>
    <m/>
    <m/>
    <m/>
    <m/>
    <m/>
    <m/>
    <m/>
    <m/>
    <m/>
    <m/>
    <m/>
    <x v="0"/>
  </r>
  <r>
    <n v="1"/>
    <x v="4"/>
    <x v="0"/>
    <n v="18"/>
    <s v="17_FS_0|"/>
    <s v="20|"/>
    <n v="45729"/>
    <m/>
    <n v="0"/>
    <m/>
    <s v="u"/>
    <n v="4"/>
    <s v="Final touches"/>
    <x v="0"/>
    <x v="1"/>
    <x v="0"/>
    <m/>
    <m/>
    <m/>
    <m/>
    <d v="2025-03-13T00:00:00"/>
    <x v="9"/>
    <n v="2"/>
    <m/>
    <m/>
    <m/>
    <n v="0"/>
    <n v="0"/>
    <m/>
    <m/>
    <m/>
    <m/>
    <n v="20000"/>
    <m/>
    <m/>
    <m/>
    <m/>
    <m/>
    <m/>
    <m/>
    <m/>
    <m/>
    <m/>
    <m/>
    <m/>
    <m/>
    <m/>
    <m/>
    <m/>
    <m/>
    <m/>
    <m/>
    <m/>
    <m/>
    <m/>
    <m/>
    <x v="0"/>
  </r>
  <r>
    <n v="1"/>
    <x v="3"/>
    <x v="1"/>
    <n v="20"/>
    <s v="18_FS_0|"/>
    <m/>
    <n v="45731"/>
    <m/>
    <n v="0"/>
    <m/>
    <s v="u"/>
    <n v="5"/>
    <s v="Move in with Family"/>
    <x v="0"/>
    <x v="1"/>
    <x v="7"/>
    <m/>
    <m/>
    <m/>
    <m/>
    <d v="2025-03-15T00:00:00"/>
    <x v="10"/>
    <n v="0"/>
    <m/>
    <m/>
    <m/>
    <n v="0"/>
    <n v="0"/>
    <m/>
    <m/>
    <m/>
    <m/>
    <m/>
    <m/>
    <m/>
    <m/>
    <m/>
    <m/>
    <m/>
    <m/>
    <m/>
    <m/>
    <m/>
    <m/>
    <m/>
    <m/>
    <m/>
    <m/>
    <m/>
    <m/>
    <m/>
    <m/>
    <m/>
    <m/>
    <m/>
    <m/>
    <x v="0"/>
  </r>
  <r>
    <n v="2"/>
    <x v="0"/>
    <x v="0"/>
    <n v="1"/>
    <m/>
    <m/>
    <m/>
    <m/>
    <n v="0"/>
    <m/>
    <s v="u"/>
    <n v="1"/>
    <s v="Architectural Design"/>
    <x v="0"/>
    <x v="1"/>
    <x v="0"/>
    <m/>
    <d v="2025-02-17T00:00:00"/>
    <d v="2025-02-26T00:00:00"/>
    <n v="3"/>
    <d v="2025-02-24T00:00:00"/>
    <x v="11"/>
    <n v="12"/>
    <m/>
    <m/>
    <m/>
    <n v="0"/>
    <n v="0.83333333333333337"/>
    <d v="2025-02-20T00:00:00"/>
    <d v="2025-02-28T00:00:00"/>
    <n v="5"/>
    <n v="300000"/>
    <n v="2700"/>
    <n v="128600"/>
    <m/>
    <m/>
    <m/>
    <m/>
    <m/>
    <m/>
    <m/>
    <m/>
    <m/>
    <m/>
    <m/>
    <m/>
    <m/>
    <m/>
    <m/>
    <m/>
    <m/>
    <m/>
    <m/>
    <m/>
    <m/>
    <m/>
    <x v="1"/>
  </r>
  <r>
    <n v="2"/>
    <x v="1"/>
    <x v="0"/>
    <n v="2"/>
    <m/>
    <m/>
    <m/>
    <m/>
    <n v="1"/>
    <m/>
    <s v="u"/>
    <n v="1.1000000000000001"/>
    <s v="Create draft of architecture"/>
    <x v="0"/>
    <x v="0"/>
    <x v="0"/>
    <m/>
    <d v="2025-02-24T00:00:00"/>
    <d v="2025-02-26T00:00:00"/>
    <n v="3"/>
    <d v="2025-03-17T00:00:00"/>
    <x v="11"/>
    <n v="4"/>
    <m/>
    <m/>
    <m/>
    <n v="100"/>
    <n v="1"/>
    <d v="2025-02-24T00:00:00"/>
    <d v="2025-02-28T00:00:00"/>
    <n v="5"/>
    <m/>
    <n v="2700"/>
    <m/>
    <m/>
    <m/>
    <m/>
    <m/>
    <m/>
    <m/>
    <m/>
    <m/>
    <m/>
    <m/>
    <m/>
    <m/>
    <m/>
    <m/>
    <m/>
    <m/>
    <m/>
    <m/>
    <m/>
    <m/>
    <m/>
    <m/>
    <x v="1"/>
  </r>
  <r>
    <n v="2"/>
    <x v="2"/>
    <x v="0"/>
    <n v="4"/>
    <m/>
    <m/>
    <m/>
    <m/>
    <n v="2"/>
    <m/>
    <s v="u"/>
    <s v="1.1.1"/>
    <s v="Prepare construction documents"/>
    <x v="0"/>
    <x v="0"/>
    <x v="8"/>
    <m/>
    <d v="2025-02-24T00:00:00"/>
    <d v="2025-02-26T00:00:00"/>
    <n v="3"/>
    <d v="2025-03-17T00:00:00"/>
    <x v="11"/>
    <n v="4"/>
    <m/>
    <m/>
    <m/>
    <n v="100"/>
    <n v="1"/>
    <d v="2025-02-24T00:00:00"/>
    <d v="2025-02-28T00:00:00"/>
    <n v="5"/>
    <m/>
    <n v="2700"/>
    <m/>
    <m/>
    <m/>
    <m/>
    <m/>
    <m/>
    <m/>
    <m/>
    <m/>
    <m/>
    <m/>
    <m/>
    <m/>
    <m/>
    <m/>
    <m/>
    <m/>
    <m/>
    <m/>
    <m/>
    <m/>
    <m/>
    <m/>
    <x v="1"/>
  </r>
  <r>
    <n v="2"/>
    <x v="2"/>
    <x v="0"/>
    <n v="3"/>
    <m/>
    <m/>
    <m/>
    <m/>
    <n v="1"/>
    <m/>
    <s v="u"/>
    <n v="1.2"/>
    <s v="Agreement to architectural plan"/>
    <x v="0"/>
    <x v="1"/>
    <x v="0"/>
    <m/>
    <m/>
    <m/>
    <m/>
    <d v="2025-02-24T00:00:00"/>
    <x v="12"/>
    <n v="8"/>
    <m/>
    <m/>
    <m/>
    <n v="0"/>
    <n v="0.5"/>
    <m/>
    <m/>
    <m/>
    <m/>
    <m/>
    <m/>
    <m/>
    <m/>
    <m/>
    <m/>
    <m/>
    <m/>
    <m/>
    <m/>
    <m/>
    <m/>
    <m/>
    <m/>
    <m/>
    <m/>
    <m/>
    <m/>
    <m/>
    <m/>
    <m/>
    <m/>
    <m/>
    <m/>
    <x v="1"/>
  </r>
  <r>
    <n v="2"/>
    <x v="3"/>
    <x v="1"/>
    <n v="6"/>
    <m/>
    <m/>
    <m/>
    <m/>
    <n v="1"/>
    <m/>
    <s v="u"/>
    <n v="1.3"/>
    <s v="Sign agreement with Client"/>
    <x v="1"/>
    <x v="0"/>
    <x v="0"/>
    <m/>
    <d v="2025-02-17T00:00:00"/>
    <d v="2025-02-18T00:00:00"/>
    <n v="0"/>
    <d v="2025-03-11T00:00:00"/>
    <x v="13"/>
    <n v="0"/>
    <m/>
    <m/>
    <m/>
    <n v="100"/>
    <n v="1"/>
    <d v="2025-02-20T00:00:00"/>
    <d v="2025-02-20T00:00:00"/>
    <n v="0"/>
    <n v="300000"/>
    <m/>
    <n v="128600"/>
    <m/>
    <m/>
    <m/>
    <m/>
    <m/>
    <m/>
    <m/>
    <m/>
    <m/>
    <m/>
    <m/>
    <m/>
    <m/>
    <m/>
    <m/>
    <m/>
    <m/>
    <m/>
    <m/>
    <m/>
    <m/>
    <m/>
    <x v="1"/>
  </r>
  <r>
    <n v="2"/>
    <x v="0"/>
    <x v="0"/>
    <n v="29"/>
    <m/>
    <m/>
    <m/>
    <m/>
    <n v="0"/>
    <m/>
    <s v="u"/>
    <n v="2"/>
    <s v="Architectural Design"/>
    <x v="0"/>
    <x v="1"/>
    <x v="0"/>
    <m/>
    <d v="2025-02-17T00:00:00"/>
    <d v="2025-02-26T00:00:00"/>
    <n v="3"/>
    <d v="2025-02-24T00:00:00"/>
    <x v="11"/>
    <n v="12"/>
    <m/>
    <m/>
    <m/>
    <n v="0"/>
    <n v="0.83333333333333337"/>
    <d v="2025-02-20T00:00:00"/>
    <d v="2025-02-28T00:00:00"/>
    <n v="5"/>
    <n v="300000"/>
    <n v="2700"/>
    <n v="128600"/>
    <m/>
    <m/>
    <m/>
    <m/>
    <m/>
    <m/>
    <m/>
    <m/>
    <m/>
    <m/>
    <m/>
    <m/>
    <m/>
    <m/>
    <m/>
    <m/>
    <m/>
    <m/>
    <m/>
    <m/>
    <m/>
    <m/>
    <x v="1"/>
  </r>
  <r>
    <n v="2"/>
    <x v="1"/>
    <x v="0"/>
    <n v="30"/>
    <m/>
    <m/>
    <m/>
    <m/>
    <n v="1"/>
    <m/>
    <s v="u"/>
    <n v="2.1"/>
    <s v="Create draft of architecture"/>
    <x v="0"/>
    <x v="0"/>
    <x v="0"/>
    <m/>
    <d v="2025-02-24T00:00:00"/>
    <d v="2025-02-26T00:00:00"/>
    <n v="3"/>
    <d v="2025-03-17T00:00:00"/>
    <x v="11"/>
    <n v="4"/>
    <m/>
    <m/>
    <m/>
    <n v="100"/>
    <n v="1"/>
    <d v="2025-02-24T00:00:00"/>
    <d v="2025-02-28T00:00:00"/>
    <n v="5"/>
    <m/>
    <n v="2700"/>
    <m/>
    <m/>
    <m/>
    <m/>
    <m/>
    <m/>
    <m/>
    <m/>
    <m/>
    <m/>
    <m/>
    <m/>
    <m/>
    <m/>
    <m/>
    <m/>
    <m/>
    <m/>
    <m/>
    <m/>
    <m/>
    <m/>
    <m/>
    <x v="1"/>
  </r>
  <r>
    <n v="2"/>
    <x v="2"/>
    <x v="0"/>
    <n v="31"/>
    <m/>
    <m/>
    <m/>
    <m/>
    <n v="2"/>
    <m/>
    <s v="u"/>
    <s v="2.1.1"/>
    <s v="Prepare construction documents"/>
    <x v="0"/>
    <x v="0"/>
    <x v="8"/>
    <m/>
    <d v="2025-02-24T00:00:00"/>
    <d v="2025-02-26T00:00:00"/>
    <n v="3"/>
    <d v="2025-03-17T00:00:00"/>
    <x v="11"/>
    <n v="4"/>
    <m/>
    <m/>
    <m/>
    <n v="100"/>
    <n v="1"/>
    <d v="2025-02-24T00:00:00"/>
    <d v="2025-02-28T00:00:00"/>
    <n v="5"/>
    <m/>
    <n v="2700"/>
    <m/>
    <m/>
    <m/>
    <m/>
    <m/>
    <m/>
    <m/>
    <m/>
    <m/>
    <m/>
    <m/>
    <m/>
    <m/>
    <m/>
    <m/>
    <m/>
    <m/>
    <m/>
    <m/>
    <m/>
    <m/>
    <m/>
    <m/>
    <x v="1"/>
  </r>
  <r>
    <n v="2"/>
    <x v="2"/>
    <x v="0"/>
    <n v="32"/>
    <m/>
    <m/>
    <m/>
    <m/>
    <n v="1"/>
    <m/>
    <s v="u"/>
    <n v="2.2000000000000002"/>
    <s v="Agreement to architectural plan"/>
    <x v="0"/>
    <x v="1"/>
    <x v="0"/>
    <m/>
    <m/>
    <m/>
    <m/>
    <d v="2025-02-24T00:00:00"/>
    <x v="12"/>
    <n v="8"/>
    <m/>
    <m/>
    <m/>
    <n v="0"/>
    <n v="0.5"/>
    <m/>
    <m/>
    <m/>
    <m/>
    <m/>
    <m/>
    <m/>
    <m/>
    <m/>
    <m/>
    <m/>
    <m/>
    <m/>
    <m/>
    <m/>
    <m/>
    <m/>
    <m/>
    <m/>
    <m/>
    <m/>
    <m/>
    <m/>
    <m/>
    <m/>
    <m/>
    <m/>
    <m/>
    <x v="1"/>
  </r>
  <r>
    <n v="2"/>
    <x v="3"/>
    <x v="1"/>
    <n v="33"/>
    <m/>
    <m/>
    <m/>
    <m/>
    <n v="1"/>
    <m/>
    <s v="u"/>
    <n v="2.2999999999999998"/>
    <s v="Sign agreement with Client"/>
    <x v="1"/>
    <x v="0"/>
    <x v="0"/>
    <m/>
    <d v="2025-02-17T00:00:00"/>
    <d v="2025-02-18T00:00:00"/>
    <n v="0"/>
    <d v="2025-03-11T00:00:00"/>
    <x v="13"/>
    <n v="0"/>
    <m/>
    <m/>
    <m/>
    <n v="100"/>
    <n v="1"/>
    <d v="2025-02-20T00:00:00"/>
    <d v="2025-02-20T00:00:00"/>
    <n v="0"/>
    <n v="300000"/>
    <m/>
    <n v="128600"/>
    <m/>
    <m/>
    <m/>
    <m/>
    <m/>
    <m/>
    <m/>
    <m/>
    <m/>
    <m/>
    <m/>
    <m/>
    <m/>
    <m/>
    <m/>
    <m/>
    <m/>
    <m/>
    <m/>
    <m/>
    <m/>
    <m/>
    <x v="1"/>
  </r>
  <r>
    <n v="2"/>
    <x v="0"/>
    <x v="0"/>
    <n v="7"/>
    <m/>
    <m/>
    <m/>
    <m/>
    <n v="0"/>
    <m/>
    <s v="u"/>
    <n v="3"/>
    <s v="Construction Phase"/>
    <x v="0"/>
    <x v="1"/>
    <x v="0"/>
    <m/>
    <m/>
    <m/>
    <m/>
    <d v="2025-02-17T00:00:00"/>
    <x v="13"/>
    <n v="40"/>
    <m/>
    <m/>
    <m/>
    <n v="0"/>
    <n v="0.66666666666666652"/>
    <m/>
    <m/>
    <m/>
    <n v="25000"/>
    <n v="201800"/>
    <n v="42500"/>
    <m/>
    <m/>
    <m/>
    <m/>
    <m/>
    <m/>
    <m/>
    <m/>
    <m/>
    <m/>
    <m/>
    <m/>
    <m/>
    <m/>
    <m/>
    <m/>
    <m/>
    <m/>
    <m/>
    <m/>
    <m/>
    <m/>
    <x v="1"/>
  </r>
  <r>
    <n v="2"/>
    <x v="1"/>
    <x v="0"/>
    <n v="8"/>
    <m/>
    <m/>
    <m/>
    <m/>
    <n v="1"/>
    <m/>
    <s v="u"/>
    <n v="3.1"/>
    <s v="Foundation"/>
    <x v="0"/>
    <x v="0"/>
    <x v="2"/>
    <m/>
    <m/>
    <m/>
    <m/>
    <d v="2025-02-17T00:00:00"/>
    <x v="14"/>
    <n v="27"/>
    <m/>
    <m/>
    <m/>
    <n v="100"/>
    <n v="1"/>
    <m/>
    <m/>
    <m/>
    <n v="25000"/>
    <n v="73800"/>
    <n v="42500"/>
    <m/>
    <m/>
    <m/>
    <m/>
    <m/>
    <m/>
    <m/>
    <m/>
    <m/>
    <m/>
    <m/>
    <m/>
    <m/>
    <m/>
    <m/>
    <m/>
    <m/>
    <m/>
    <m/>
    <m/>
    <m/>
    <m/>
    <x v="1"/>
  </r>
  <r>
    <n v="2"/>
    <x v="2"/>
    <x v="0"/>
    <n v="9"/>
    <m/>
    <s v="10|"/>
    <m/>
    <m/>
    <n v="2"/>
    <m/>
    <s v="u"/>
    <s v="3.1.1"/>
    <s v="Excavation Test in Canterbury"/>
    <x v="0"/>
    <x v="0"/>
    <x v="2"/>
    <m/>
    <m/>
    <m/>
    <m/>
    <d v="2025-02-17T00:00:00"/>
    <x v="1"/>
    <n v="4"/>
    <m/>
    <m/>
    <m/>
    <n v="100"/>
    <n v="1"/>
    <m/>
    <m/>
    <m/>
    <n v="25000"/>
    <n v="35000"/>
    <n v="42500"/>
    <m/>
    <m/>
    <m/>
    <m/>
    <m/>
    <m/>
    <m/>
    <m/>
    <m/>
    <m/>
    <m/>
    <m/>
    <m/>
    <m/>
    <m/>
    <m/>
    <m/>
    <m/>
    <m/>
    <m/>
    <m/>
    <m/>
    <x v="1"/>
  </r>
  <r>
    <n v="2"/>
    <x v="2"/>
    <x v="0"/>
    <n v="10"/>
    <s v="9_FS_-2|"/>
    <s v="11|"/>
    <n v="45708"/>
    <m/>
    <n v="2"/>
    <m/>
    <s v="u"/>
    <s v="3.1.2"/>
    <s v="Pour Concrete"/>
    <x v="0"/>
    <x v="0"/>
    <x v="3"/>
    <m/>
    <m/>
    <m/>
    <m/>
    <d v="2025-02-20T00:00:00"/>
    <x v="14"/>
    <n v="13"/>
    <m/>
    <m/>
    <m/>
    <n v="100"/>
    <n v="1"/>
    <m/>
    <m/>
    <m/>
    <m/>
    <n v="35000"/>
    <m/>
    <m/>
    <m/>
    <m/>
    <m/>
    <m/>
    <m/>
    <m/>
    <m/>
    <m/>
    <m/>
    <m/>
    <m/>
    <m/>
    <m/>
    <m/>
    <m/>
    <m/>
    <m/>
    <m/>
    <m/>
    <m/>
    <m/>
    <x v="1"/>
  </r>
  <r>
    <n v="2"/>
    <x v="2"/>
    <x v="0"/>
    <n v="11"/>
    <s v="10_SS_0|"/>
    <s v="13|"/>
    <n v="45708"/>
    <m/>
    <n v="2"/>
    <m/>
    <s v="u"/>
    <s v="3.1.3"/>
    <s v="Level Concrete"/>
    <x v="0"/>
    <x v="0"/>
    <x v="3"/>
    <m/>
    <m/>
    <m/>
    <m/>
    <d v="2025-02-20T00:00:00"/>
    <x v="4"/>
    <n v="10"/>
    <m/>
    <m/>
    <m/>
    <n v="100"/>
    <n v="1"/>
    <m/>
    <m/>
    <m/>
    <m/>
    <n v="3800"/>
    <m/>
    <m/>
    <m/>
    <m/>
    <m/>
    <m/>
    <m/>
    <m/>
    <m/>
    <m/>
    <m/>
    <m/>
    <m/>
    <m/>
    <m/>
    <m/>
    <m/>
    <m/>
    <m/>
    <m/>
    <m/>
    <m/>
    <m/>
    <x v="1"/>
  </r>
  <r>
    <n v="2"/>
    <x v="1"/>
    <x v="0"/>
    <n v="12"/>
    <m/>
    <m/>
    <m/>
    <m/>
    <n v="1"/>
    <m/>
    <s v="u"/>
    <n v="3.2"/>
    <s v="Ground Floor"/>
    <x v="0"/>
    <x v="1"/>
    <x v="4"/>
    <m/>
    <m/>
    <m/>
    <m/>
    <d v="2025-03-02T00:00:00"/>
    <x v="13"/>
    <n v="13"/>
    <m/>
    <m/>
    <m/>
    <n v="0"/>
    <n v="0.33333333333333331"/>
    <m/>
    <m/>
    <m/>
    <m/>
    <n v="128000"/>
    <m/>
    <m/>
    <m/>
    <m/>
    <m/>
    <m/>
    <m/>
    <m/>
    <m/>
    <m/>
    <m/>
    <m/>
    <m/>
    <m/>
    <m/>
    <m/>
    <m/>
    <m/>
    <m/>
    <m/>
    <m/>
    <m/>
    <m/>
    <x v="1"/>
  </r>
  <r>
    <n v="2"/>
    <x v="2"/>
    <x v="0"/>
    <n v="13"/>
    <s v="11_FS_0|"/>
    <s v="19|14|"/>
    <n v="45718"/>
    <m/>
    <n v="2"/>
    <m/>
    <s v="u"/>
    <s v="3.2.1"/>
    <s v="Walls to 1st Floor"/>
    <x v="1"/>
    <x v="1"/>
    <x v="4"/>
    <m/>
    <m/>
    <m/>
    <m/>
    <d v="2025-03-02T00:00:00"/>
    <x v="15"/>
    <n v="5"/>
    <m/>
    <m/>
    <m/>
    <n v="0"/>
    <n v="0.5"/>
    <m/>
    <m/>
    <m/>
    <m/>
    <n v="65000"/>
    <m/>
    <m/>
    <m/>
    <m/>
    <m/>
    <m/>
    <m/>
    <m/>
    <m/>
    <m/>
    <m/>
    <m/>
    <m/>
    <m/>
    <m/>
    <m/>
    <m/>
    <m/>
    <m/>
    <m/>
    <m/>
    <m/>
    <m/>
    <x v="1"/>
  </r>
  <r>
    <n v="2"/>
    <x v="2"/>
    <x v="0"/>
    <n v="19"/>
    <s v="13_FS_0|"/>
    <m/>
    <n v="45724"/>
    <m/>
    <n v="2"/>
    <m/>
    <s v="u"/>
    <s v="3.2.2"/>
    <s v="Windows/ Doors"/>
    <x v="0"/>
    <x v="1"/>
    <x v="4"/>
    <m/>
    <m/>
    <m/>
    <m/>
    <d v="2025-03-08T00:00:00"/>
    <x v="13"/>
    <n v="4"/>
    <m/>
    <m/>
    <m/>
    <n v="0"/>
    <n v="0.25"/>
    <m/>
    <m/>
    <m/>
    <m/>
    <n v="47000"/>
    <m/>
    <m/>
    <m/>
    <m/>
    <m/>
    <m/>
    <m/>
    <m/>
    <m/>
    <m/>
    <m/>
    <m/>
    <m/>
    <m/>
    <m/>
    <m/>
    <m/>
    <m/>
    <m/>
    <m/>
    <m/>
    <m/>
    <m/>
    <x v="1"/>
  </r>
  <r>
    <n v="2"/>
    <x v="2"/>
    <x v="0"/>
    <n v="14"/>
    <s v="13_FS_0|"/>
    <s v="16|"/>
    <n v="45724"/>
    <m/>
    <n v="2"/>
    <m/>
    <s v="u"/>
    <s v="3.2.3"/>
    <s v="Roof structure"/>
    <x v="0"/>
    <x v="1"/>
    <x v="5"/>
    <m/>
    <m/>
    <m/>
    <m/>
    <d v="2025-03-08T00:00:00"/>
    <x v="13"/>
    <n v="4"/>
    <m/>
    <m/>
    <m/>
    <n v="0"/>
    <n v="0.25"/>
    <m/>
    <m/>
    <m/>
    <m/>
    <n v="16000"/>
    <m/>
    <m/>
    <m/>
    <m/>
    <m/>
    <m/>
    <m/>
    <m/>
    <m/>
    <m/>
    <m/>
    <m/>
    <m/>
    <m/>
    <m/>
    <m/>
    <m/>
    <m/>
    <m/>
    <m/>
    <m/>
    <m/>
    <m/>
    <x v="1"/>
  </r>
  <r>
    <n v="2"/>
    <x v="0"/>
    <x v="0"/>
    <n v="34"/>
    <m/>
    <m/>
    <m/>
    <m/>
    <n v="0"/>
    <m/>
    <s v="u"/>
    <n v="4"/>
    <s v="Construction Phase"/>
    <x v="0"/>
    <x v="1"/>
    <x v="0"/>
    <m/>
    <m/>
    <m/>
    <m/>
    <d v="2025-02-17T00:00:00"/>
    <x v="13"/>
    <n v="40"/>
    <m/>
    <m/>
    <m/>
    <n v="0"/>
    <n v="0.66666666666666652"/>
    <m/>
    <m/>
    <m/>
    <n v="25000"/>
    <n v="201800"/>
    <n v="42500"/>
    <m/>
    <m/>
    <m/>
    <m/>
    <m/>
    <m/>
    <m/>
    <m/>
    <m/>
    <m/>
    <m/>
    <m/>
    <m/>
    <m/>
    <m/>
    <m/>
    <m/>
    <m/>
    <m/>
    <m/>
    <m/>
    <m/>
    <x v="1"/>
  </r>
  <r>
    <n v="2"/>
    <x v="1"/>
    <x v="0"/>
    <n v="35"/>
    <m/>
    <m/>
    <m/>
    <m/>
    <n v="1"/>
    <m/>
    <s v="u"/>
    <n v="4.0999999999999996"/>
    <s v="Foundation"/>
    <x v="0"/>
    <x v="0"/>
    <x v="2"/>
    <m/>
    <m/>
    <m/>
    <m/>
    <d v="2025-02-17T00:00:00"/>
    <x v="14"/>
    <n v="27"/>
    <m/>
    <m/>
    <m/>
    <n v="100"/>
    <n v="1"/>
    <m/>
    <m/>
    <m/>
    <n v="25000"/>
    <n v="73800"/>
    <n v="42500"/>
    <m/>
    <m/>
    <m/>
    <m/>
    <m/>
    <m/>
    <m/>
    <m/>
    <m/>
    <m/>
    <m/>
    <m/>
    <m/>
    <m/>
    <m/>
    <m/>
    <m/>
    <m/>
    <m/>
    <m/>
    <m/>
    <m/>
    <x v="1"/>
  </r>
  <r>
    <n v="2"/>
    <x v="2"/>
    <x v="0"/>
    <n v="36"/>
    <m/>
    <m/>
    <m/>
    <m/>
    <n v="2"/>
    <m/>
    <s v="u"/>
    <s v="4.1.1"/>
    <s v="Excavation Test in Canterbury"/>
    <x v="0"/>
    <x v="0"/>
    <x v="2"/>
    <m/>
    <m/>
    <m/>
    <m/>
    <d v="2025-02-17T00:00:00"/>
    <x v="1"/>
    <n v="4"/>
    <m/>
    <m/>
    <m/>
    <n v="100"/>
    <n v="1"/>
    <m/>
    <m/>
    <m/>
    <n v="25000"/>
    <n v="35000"/>
    <n v="42500"/>
    <m/>
    <m/>
    <m/>
    <m/>
    <m/>
    <m/>
    <m/>
    <m/>
    <m/>
    <m/>
    <m/>
    <m/>
    <m/>
    <m/>
    <m/>
    <m/>
    <m/>
    <m/>
    <m/>
    <m/>
    <m/>
    <m/>
    <x v="1"/>
  </r>
  <r>
    <n v="2"/>
    <x v="2"/>
    <x v="0"/>
    <n v="37"/>
    <m/>
    <m/>
    <m/>
    <m/>
    <n v="2"/>
    <m/>
    <s v="u"/>
    <s v="4.1.2"/>
    <s v="Pour Concrete"/>
    <x v="0"/>
    <x v="0"/>
    <x v="3"/>
    <m/>
    <m/>
    <m/>
    <m/>
    <d v="2025-02-20T00:00:00"/>
    <x v="14"/>
    <n v="13"/>
    <m/>
    <m/>
    <m/>
    <n v="100"/>
    <n v="1"/>
    <m/>
    <m/>
    <m/>
    <m/>
    <n v="35000"/>
    <m/>
    <m/>
    <m/>
    <m/>
    <m/>
    <m/>
    <m/>
    <m/>
    <m/>
    <m/>
    <m/>
    <m/>
    <m/>
    <m/>
    <m/>
    <m/>
    <m/>
    <m/>
    <m/>
    <m/>
    <m/>
    <m/>
    <m/>
    <x v="1"/>
  </r>
  <r>
    <n v="2"/>
    <x v="2"/>
    <x v="0"/>
    <n v="38"/>
    <m/>
    <m/>
    <m/>
    <m/>
    <n v="2"/>
    <m/>
    <s v="u"/>
    <s v="4.1.3"/>
    <s v="Level Concrete"/>
    <x v="0"/>
    <x v="0"/>
    <x v="3"/>
    <m/>
    <m/>
    <m/>
    <m/>
    <d v="2025-02-20T00:00:00"/>
    <x v="4"/>
    <n v="10"/>
    <m/>
    <m/>
    <m/>
    <n v="100"/>
    <n v="1"/>
    <m/>
    <m/>
    <m/>
    <m/>
    <n v="3800"/>
    <m/>
    <m/>
    <m/>
    <m/>
    <m/>
    <m/>
    <m/>
    <m/>
    <m/>
    <m/>
    <m/>
    <m/>
    <m/>
    <m/>
    <m/>
    <m/>
    <m/>
    <m/>
    <m/>
    <m/>
    <m/>
    <m/>
    <m/>
    <x v="1"/>
  </r>
  <r>
    <n v="2"/>
    <x v="1"/>
    <x v="0"/>
    <n v="39"/>
    <m/>
    <m/>
    <m/>
    <m/>
    <n v="1"/>
    <m/>
    <s v="u"/>
    <n v="4.2"/>
    <s v="Ground Floor"/>
    <x v="0"/>
    <x v="1"/>
    <x v="4"/>
    <m/>
    <m/>
    <m/>
    <m/>
    <d v="2025-03-02T00:00:00"/>
    <x v="13"/>
    <n v="13"/>
    <m/>
    <m/>
    <m/>
    <n v="0"/>
    <n v="0.33333333333333331"/>
    <m/>
    <m/>
    <m/>
    <m/>
    <n v="128000"/>
    <m/>
    <m/>
    <m/>
    <m/>
    <m/>
    <m/>
    <m/>
    <m/>
    <m/>
    <m/>
    <m/>
    <m/>
    <m/>
    <m/>
    <m/>
    <m/>
    <m/>
    <m/>
    <m/>
    <m/>
    <m/>
    <m/>
    <m/>
    <x v="1"/>
  </r>
  <r>
    <n v="2"/>
    <x v="2"/>
    <x v="0"/>
    <n v="40"/>
    <m/>
    <m/>
    <m/>
    <m/>
    <n v="2"/>
    <m/>
    <s v="u"/>
    <s v="4.2.1"/>
    <s v="Walls to 1st Floor"/>
    <x v="1"/>
    <x v="1"/>
    <x v="4"/>
    <m/>
    <m/>
    <m/>
    <m/>
    <d v="2025-03-02T00:00:00"/>
    <x v="15"/>
    <n v="5"/>
    <m/>
    <m/>
    <m/>
    <n v="0"/>
    <n v="0.5"/>
    <m/>
    <m/>
    <m/>
    <m/>
    <n v="65000"/>
    <m/>
    <m/>
    <m/>
    <m/>
    <m/>
    <m/>
    <m/>
    <m/>
    <m/>
    <m/>
    <m/>
    <m/>
    <m/>
    <m/>
    <m/>
    <m/>
    <m/>
    <m/>
    <m/>
    <m/>
    <m/>
    <m/>
    <m/>
    <x v="1"/>
  </r>
  <r>
    <n v="2"/>
    <x v="2"/>
    <x v="0"/>
    <n v="41"/>
    <m/>
    <m/>
    <m/>
    <m/>
    <n v="2"/>
    <m/>
    <s v="u"/>
    <s v="4.2.2"/>
    <s v="Windows/ Doors"/>
    <x v="0"/>
    <x v="1"/>
    <x v="4"/>
    <m/>
    <m/>
    <m/>
    <m/>
    <d v="2025-03-08T00:00:00"/>
    <x v="13"/>
    <n v="4"/>
    <m/>
    <m/>
    <m/>
    <n v="0"/>
    <n v="0.25"/>
    <m/>
    <m/>
    <m/>
    <m/>
    <n v="47000"/>
    <m/>
    <m/>
    <m/>
    <m/>
    <m/>
    <m/>
    <m/>
    <m/>
    <m/>
    <m/>
    <m/>
    <m/>
    <m/>
    <m/>
    <m/>
    <m/>
    <m/>
    <m/>
    <m/>
    <m/>
    <m/>
    <m/>
    <m/>
    <x v="1"/>
  </r>
  <r>
    <n v="2"/>
    <x v="2"/>
    <x v="0"/>
    <n v="42"/>
    <m/>
    <m/>
    <m/>
    <m/>
    <n v="2"/>
    <m/>
    <s v="u"/>
    <s v="4.2.3"/>
    <s v="Roof structure"/>
    <x v="0"/>
    <x v="1"/>
    <x v="5"/>
    <m/>
    <m/>
    <m/>
    <m/>
    <d v="2025-03-08T00:00:00"/>
    <x v="13"/>
    <n v="4"/>
    <m/>
    <m/>
    <m/>
    <n v="0"/>
    <n v="0.25"/>
    <m/>
    <m/>
    <m/>
    <m/>
    <n v="16000"/>
    <m/>
    <m/>
    <m/>
    <m/>
    <m/>
    <m/>
    <m/>
    <m/>
    <m/>
    <m/>
    <m/>
    <m/>
    <m/>
    <m/>
    <m/>
    <m/>
    <m/>
    <m/>
    <m/>
    <m/>
    <m/>
    <m/>
    <m/>
    <x v="1"/>
  </r>
  <r>
    <n v="2"/>
    <x v="0"/>
    <x v="0"/>
    <n v="15"/>
    <m/>
    <m/>
    <m/>
    <m/>
    <n v="0"/>
    <m/>
    <s v="u"/>
    <n v="5"/>
    <s v="Decoration Phase"/>
    <x v="0"/>
    <x v="1"/>
    <x v="5"/>
    <m/>
    <m/>
    <m/>
    <m/>
    <d v="2025-03-12T00:00:00"/>
    <x v="16"/>
    <n v="4"/>
    <m/>
    <m/>
    <m/>
    <n v="0"/>
    <n v="0"/>
    <m/>
    <m/>
    <m/>
    <m/>
    <n v="93500"/>
    <m/>
    <m/>
    <m/>
    <m/>
    <m/>
    <m/>
    <m/>
    <m/>
    <m/>
    <m/>
    <m/>
    <m/>
    <m/>
    <m/>
    <m/>
    <m/>
    <m/>
    <m/>
    <m/>
    <m/>
    <m/>
    <m/>
    <m/>
    <x v="1"/>
  </r>
  <r>
    <n v="2"/>
    <x v="2"/>
    <x v="0"/>
    <n v="16"/>
    <s v="14_FS_0|"/>
    <s v="17|"/>
    <n v="45728"/>
    <m/>
    <n v="1"/>
    <m/>
    <s v="u"/>
    <n v="5.0999999999999996"/>
    <s v="Walls and Tiles"/>
    <x v="0"/>
    <x v="1"/>
    <x v="4"/>
    <m/>
    <m/>
    <m/>
    <m/>
    <d v="2025-03-12T00:00:00"/>
    <x v="16"/>
    <n v="2"/>
    <m/>
    <m/>
    <m/>
    <n v="0"/>
    <n v="0"/>
    <m/>
    <m/>
    <m/>
    <m/>
    <n v="13500"/>
    <m/>
    <m/>
    <m/>
    <m/>
    <m/>
    <m/>
    <m/>
    <m/>
    <m/>
    <m/>
    <m/>
    <m/>
    <m/>
    <m/>
    <m/>
    <m/>
    <m/>
    <m/>
    <m/>
    <m/>
    <m/>
    <m/>
    <m/>
    <x v="1"/>
  </r>
  <r>
    <n v="2"/>
    <x v="2"/>
    <x v="0"/>
    <n v="17"/>
    <s v="16_SS_0|"/>
    <s v="18|"/>
    <n v="45728"/>
    <m/>
    <n v="1"/>
    <m/>
    <s v="u"/>
    <n v="5.2"/>
    <s v="Interiors/ Furniture"/>
    <x v="2"/>
    <x v="1"/>
    <x v="6"/>
    <m/>
    <m/>
    <m/>
    <m/>
    <d v="2025-03-12T00:00:00"/>
    <x v="16"/>
    <n v="2"/>
    <m/>
    <m/>
    <m/>
    <n v="0"/>
    <n v="0"/>
    <m/>
    <m/>
    <m/>
    <m/>
    <n v="80000"/>
    <m/>
    <m/>
    <m/>
    <m/>
    <m/>
    <m/>
    <m/>
    <m/>
    <m/>
    <m/>
    <m/>
    <m/>
    <m/>
    <m/>
    <m/>
    <m/>
    <m/>
    <m/>
    <m/>
    <m/>
    <m/>
    <m/>
    <m/>
    <x v="1"/>
  </r>
  <r>
    <n v="2"/>
    <x v="4"/>
    <x v="0"/>
    <n v="18"/>
    <s v="17_FS_0|"/>
    <s v="20|"/>
    <n v="45730"/>
    <m/>
    <n v="0"/>
    <m/>
    <s v="u"/>
    <n v="6"/>
    <s v="Final touches"/>
    <x v="0"/>
    <x v="1"/>
    <x v="0"/>
    <m/>
    <m/>
    <m/>
    <m/>
    <d v="2025-03-14T00:00:00"/>
    <x v="10"/>
    <n v="2"/>
    <m/>
    <m/>
    <m/>
    <n v="0"/>
    <n v="0"/>
    <m/>
    <m/>
    <m/>
    <m/>
    <n v="20000"/>
    <m/>
    <m/>
    <m/>
    <m/>
    <m/>
    <m/>
    <m/>
    <m/>
    <m/>
    <m/>
    <m/>
    <m/>
    <m/>
    <m/>
    <m/>
    <m/>
    <m/>
    <m/>
    <m/>
    <m/>
    <m/>
    <m/>
    <m/>
    <x v="1"/>
  </r>
  <r>
    <n v="2"/>
    <x v="3"/>
    <x v="1"/>
    <n v="20"/>
    <s v="18_FS_0|"/>
    <m/>
    <n v="45732"/>
    <m/>
    <n v="0"/>
    <m/>
    <s v="u"/>
    <n v="7"/>
    <s v="Move in with Family"/>
    <x v="0"/>
    <x v="1"/>
    <x v="7"/>
    <m/>
    <m/>
    <m/>
    <m/>
    <d v="2025-03-16T00:00:00"/>
    <x v="17"/>
    <n v="0"/>
    <m/>
    <m/>
    <m/>
    <n v="0"/>
    <n v="0"/>
    <m/>
    <m/>
    <m/>
    <m/>
    <m/>
    <m/>
    <m/>
    <m/>
    <m/>
    <m/>
    <m/>
    <m/>
    <m/>
    <m/>
    <m/>
    <m/>
    <m/>
    <m/>
    <m/>
    <m/>
    <m/>
    <m/>
    <m/>
    <m/>
    <m/>
    <m/>
    <m/>
    <m/>
    <x v="1"/>
  </r>
  <r>
    <n v="2"/>
    <x v="4"/>
    <x v="0"/>
    <n v="21"/>
    <m/>
    <m/>
    <m/>
    <m/>
    <n v="0"/>
    <m/>
    <s v="u"/>
    <n v="8"/>
    <s v="sfsf"/>
    <x v="0"/>
    <x v="1"/>
    <x v="8"/>
    <m/>
    <m/>
    <m/>
    <m/>
    <d v="2025-03-13T00:00:00"/>
    <x v="16"/>
    <n v="1"/>
    <m/>
    <m/>
    <m/>
    <n v="0"/>
    <n v="0"/>
    <m/>
    <m/>
    <m/>
    <m/>
    <m/>
    <m/>
    <m/>
    <m/>
    <m/>
    <m/>
    <m/>
    <m/>
    <m/>
    <m/>
    <m/>
    <m/>
    <m/>
    <m/>
    <m/>
    <m/>
    <m/>
    <m/>
    <m/>
    <m/>
    <m/>
    <m/>
    <m/>
    <m/>
    <x v="1"/>
  </r>
  <r>
    <n v="2"/>
    <x v="4"/>
    <x v="0"/>
    <n v="22"/>
    <m/>
    <m/>
    <m/>
    <m/>
    <n v="0"/>
    <m/>
    <s v="u"/>
    <n v="9"/>
    <s v="jjljljljl"/>
    <x v="0"/>
    <x v="1"/>
    <x v="8"/>
    <m/>
    <m/>
    <m/>
    <m/>
    <d v="2025-03-13T00:00:00"/>
    <x v="16"/>
    <n v="1"/>
    <m/>
    <m/>
    <m/>
    <n v="0"/>
    <n v="0"/>
    <m/>
    <m/>
    <m/>
    <m/>
    <m/>
    <m/>
    <m/>
    <m/>
    <m/>
    <m/>
    <m/>
    <m/>
    <m/>
    <m/>
    <m/>
    <m/>
    <m/>
    <m/>
    <m/>
    <m/>
    <m/>
    <m/>
    <m/>
    <m/>
    <m/>
    <m/>
    <m/>
    <m/>
    <x v="1"/>
  </r>
  <r>
    <n v="2"/>
    <x v="4"/>
    <x v="0"/>
    <n v="23"/>
    <m/>
    <m/>
    <m/>
    <m/>
    <n v="0"/>
    <m/>
    <s v="u"/>
    <n v="10"/>
    <s v="sdfsfsf"/>
    <x v="0"/>
    <x v="1"/>
    <x v="8"/>
    <m/>
    <m/>
    <m/>
    <m/>
    <d v="2025-03-13T00:00:00"/>
    <x v="16"/>
    <n v="1"/>
    <m/>
    <m/>
    <m/>
    <n v="0"/>
    <n v="0"/>
    <m/>
    <m/>
    <m/>
    <m/>
    <m/>
    <m/>
    <m/>
    <m/>
    <m/>
    <m/>
    <m/>
    <m/>
    <m/>
    <m/>
    <m/>
    <m/>
    <m/>
    <m/>
    <m/>
    <m/>
    <m/>
    <m/>
    <m/>
    <m/>
    <m/>
    <m/>
    <m/>
    <m/>
    <x v="1"/>
  </r>
  <r>
    <n v="2"/>
    <x v="4"/>
    <x v="0"/>
    <n v="24"/>
    <m/>
    <m/>
    <m/>
    <m/>
    <n v="0"/>
    <m/>
    <s v="u"/>
    <n v="11"/>
    <s v="Hi"/>
    <x v="0"/>
    <x v="1"/>
    <x v="8"/>
    <m/>
    <m/>
    <m/>
    <m/>
    <d v="2025-03-13T00:00:00"/>
    <x v="16"/>
    <n v="1"/>
    <m/>
    <m/>
    <m/>
    <n v="0"/>
    <n v="0"/>
    <m/>
    <m/>
    <m/>
    <m/>
    <m/>
    <m/>
    <m/>
    <m/>
    <m/>
    <m/>
    <m/>
    <m/>
    <m/>
    <m/>
    <m/>
    <m/>
    <m/>
    <m/>
    <m/>
    <m/>
    <m/>
    <m/>
    <m/>
    <m/>
    <m/>
    <m/>
    <m/>
    <m/>
    <x v="1"/>
  </r>
  <r>
    <n v="2"/>
    <x v="4"/>
    <x v="0"/>
    <n v="25"/>
    <m/>
    <m/>
    <m/>
    <m/>
    <n v="0"/>
    <m/>
    <s v="u"/>
    <n v="12"/>
    <s v="sfsf"/>
    <x v="0"/>
    <x v="1"/>
    <x v="8"/>
    <m/>
    <m/>
    <m/>
    <m/>
    <d v="2025-03-13T00:00:00"/>
    <x v="16"/>
    <n v="1"/>
    <m/>
    <m/>
    <m/>
    <n v="0"/>
    <n v="0"/>
    <m/>
    <m/>
    <m/>
    <m/>
    <m/>
    <m/>
    <m/>
    <m/>
    <m/>
    <m/>
    <m/>
    <m/>
    <m/>
    <m/>
    <m/>
    <m/>
    <m/>
    <m/>
    <m/>
    <m/>
    <m/>
    <m/>
    <m/>
    <m/>
    <m/>
    <m/>
    <m/>
    <m/>
    <x v="1"/>
  </r>
  <r>
    <n v="2"/>
    <x v="4"/>
    <x v="0"/>
    <n v="26"/>
    <m/>
    <m/>
    <m/>
    <m/>
    <n v="0"/>
    <m/>
    <s v="u"/>
    <n v="13"/>
    <s v="gjgjgjgjgjgj"/>
    <x v="0"/>
    <x v="1"/>
    <x v="8"/>
    <m/>
    <m/>
    <m/>
    <m/>
    <d v="2025-03-13T00:00:00"/>
    <x v="16"/>
    <n v="1"/>
    <m/>
    <m/>
    <m/>
    <n v="0"/>
    <n v="0"/>
    <m/>
    <m/>
    <m/>
    <m/>
    <m/>
    <m/>
    <m/>
    <m/>
    <m/>
    <m/>
    <m/>
    <m/>
    <m/>
    <m/>
    <m/>
    <m/>
    <m/>
    <m/>
    <m/>
    <m/>
    <m/>
    <m/>
    <m/>
    <m/>
    <m/>
    <m/>
    <m/>
    <m/>
    <x v="1"/>
  </r>
  <r>
    <n v="2"/>
    <x v="4"/>
    <x v="0"/>
    <n v="27"/>
    <m/>
    <m/>
    <m/>
    <m/>
    <n v="0"/>
    <m/>
    <s v="u"/>
    <n v="14"/>
    <s v="dgdgdg"/>
    <x v="0"/>
    <x v="1"/>
    <x v="8"/>
    <m/>
    <m/>
    <m/>
    <m/>
    <d v="2025-03-13T00:00:00"/>
    <x v="16"/>
    <n v="1"/>
    <m/>
    <m/>
    <m/>
    <n v="0"/>
    <n v="0"/>
    <m/>
    <m/>
    <m/>
    <m/>
    <m/>
    <m/>
    <m/>
    <m/>
    <m/>
    <m/>
    <m/>
    <m/>
    <m/>
    <m/>
    <m/>
    <m/>
    <m/>
    <m/>
    <m/>
    <m/>
    <m/>
    <m/>
    <m/>
    <m/>
    <m/>
    <m/>
    <m/>
    <m/>
    <x v="1"/>
  </r>
  <r>
    <n v="2"/>
    <x v="4"/>
    <x v="0"/>
    <n v="28"/>
    <m/>
    <m/>
    <m/>
    <m/>
    <n v="0"/>
    <m/>
    <s v="u"/>
    <n v="15"/>
    <s v="gjgj"/>
    <x v="0"/>
    <x v="1"/>
    <x v="8"/>
    <m/>
    <m/>
    <m/>
    <m/>
    <d v="2025-03-13T00:00:00"/>
    <x v="16"/>
    <n v="1"/>
    <m/>
    <m/>
    <m/>
    <n v="0"/>
    <n v="0"/>
    <m/>
    <m/>
    <m/>
    <m/>
    <m/>
    <m/>
    <m/>
    <m/>
    <m/>
    <m/>
    <m/>
    <m/>
    <m/>
    <m/>
    <m/>
    <m/>
    <m/>
    <m/>
    <m/>
    <m/>
    <m/>
    <m/>
    <m/>
    <m/>
    <m/>
    <m/>
    <m/>
    <m/>
    <x v="1"/>
  </r>
  <r>
    <n v="3"/>
    <x v="4"/>
    <x v="0"/>
    <n v="1"/>
    <m/>
    <m/>
    <m/>
    <m/>
    <n v="0"/>
    <m/>
    <s v="u"/>
    <n v="1"/>
    <s v="Type here or double click to edit in form"/>
    <x v="0"/>
    <x v="1"/>
    <x v="8"/>
    <m/>
    <m/>
    <m/>
    <m/>
    <d v="2025-03-11T09:00:00"/>
    <x v="18"/>
    <n v="6"/>
    <m/>
    <m/>
    <m/>
    <n v="0"/>
    <n v="0"/>
    <m/>
    <m/>
    <m/>
    <m/>
    <m/>
    <m/>
    <m/>
    <m/>
    <m/>
    <m/>
    <m/>
    <m/>
    <m/>
    <m/>
    <m/>
    <m/>
    <m/>
    <m/>
    <m/>
    <m/>
    <m/>
    <m/>
    <m/>
    <m/>
    <m/>
    <m/>
    <m/>
    <m/>
    <x v="1"/>
  </r>
  <r>
    <n v="3"/>
    <x v="4"/>
    <x v="0"/>
    <n v="5"/>
    <m/>
    <m/>
    <m/>
    <m/>
    <n v="0"/>
    <m/>
    <s v="u"/>
    <n v="2"/>
    <s v="Type here or double click to edit in form"/>
    <x v="0"/>
    <x v="1"/>
    <x v="8"/>
    <m/>
    <m/>
    <m/>
    <m/>
    <d v="2025-03-11T09:00:00"/>
    <x v="18"/>
    <n v="6"/>
    <m/>
    <m/>
    <m/>
    <n v="0"/>
    <n v="0"/>
    <m/>
    <m/>
    <m/>
    <m/>
    <m/>
    <m/>
    <m/>
    <m/>
    <m/>
    <m/>
    <m/>
    <m/>
    <m/>
    <m/>
    <m/>
    <m/>
    <m/>
    <m/>
    <m/>
    <m/>
    <m/>
    <m/>
    <m/>
    <m/>
    <m/>
    <m/>
    <m/>
    <m/>
    <x v="1"/>
  </r>
  <r>
    <n v="3"/>
    <x v="4"/>
    <x v="0"/>
    <n v="4"/>
    <m/>
    <m/>
    <m/>
    <m/>
    <n v="0"/>
    <m/>
    <s v="u"/>
    <n v="3"/>
    <s v="Type here or double click to edit in form"/>
    <x v="0"/>
    <x v="1"/>
    <x v="8"/>
    <m/>
    <m/>
    <m/>
    <m/>
    <d v="2025-03-11T09:00:00"/>
    <x v="18"/>
    <n v="6"/>
    <m/>
    <m/>
    <m/>
    <n v="0"/>
    <n v="0"/>
    <m/>
    <m/>
    <m/>
    <m/>
    <m/>
    <m/>
    <m/>
    <m/>
    <m/>
    <m/>
    <m/>
    <m/>
    <m/>
    <m/>
    <m/>
    <m/>
    <m/>
    <m/>
    <m/>
    <m/>
    <m/>
    <m/>
    <m/>
    <m/>
    <m/>
    <m/>
    <m/>
    <m/>
    <x v="1"/>
  </r>
  <r>
    <n v="3"/>
    <x v="4"/>
    <x v="0"/>
    <n v="3"/>
    <m/>
    <m/>
    <m/>
    <m/>
    <n v="0"/>
    <m/>
    <s v="u"/>
    <n v="4"/>
    <s v="Type here or double click to edit in form"/>
    <x v="0"/>
    <x v="1"/>
    <x v="8"/>
    <m/>
    <m/>
    <m/>
    <m/>
    <d v="2025-03-12T10:00:00"/>
    <x v="19"/>
    <n v="6"/>
    <m/>
    <m/>
    <m/>
    <n v="0"/>
    <n v="0"/>
    <m/>
    <m/>
    <m/>
    <m/>
    <m/>
    <m/>
    <m/>
    <m/>
    <m/>
    <m/>
    <m/>
    <m/>
    <m/>
    <m/>
    <m/>
    <m/>
    <m/>
    <m/>
    <m/>
    <m/>
    <m/>
    <m/>
    <m/>
    <m/>
    <m/>
    <m/>
    <m/>
    <m/>
    <x v="1"/>
  </r>
  <r>
    <n v="3"/>
    <x v="4"/>
    <x v="0"/>
    <n v="2"/>
    <m/>
    <m/>
    <m/>
    <m/>
    <n v="0"/>
    <m/>
    <s v="u"/>
    <n v="5"/>
    <s v="Type here or double click to edit in form"/>
    <x v="0"/>
    <x v="1"/>
    <x v="8"/>
    <m/>
    <m/>
    <m/>
    <m/>
    <d v="2025-03-11T09:00:00"/>
    <x v="18"/>
    <n v="6"/>
    <m/>
    <m/>
    <m/>
    <n v="0"/>
    <n v="0"/>
    <m/>
    <m/>
    <m/>
    <m/>
    <m/>
    <m/>
    <m/>
    <m/>
    <m/>
    <m/>
    <m/>
    <m/>
    <m/>
    <m/>
    <m/>
    <m/>
    <m/>
    <m/>
    <m/>
    <m/>
    <m/>
    <m/>
    <m/>
    <m/>
    <m/>
    <m/>
    <m/>
    <m/>
    <x v="1"/>
  </r>
  <r>
    <n v="3"/>
    <x v="3"/>
    <x v="1"/>
    <n v="6"/>
    <m/>
    <m/>
    <m/>
    <m/>
    <n v="0"/>
    <m/>
    <s v="u"/>
    <n v="6"/>
    <s v="dgdgdg"/>
    <x v="0"/>
    <x v="1"/>
    <x v="8"/>
    <m/>
    <m/>
    <m/>
    <m/>
    <d v="2025-03-11T16:00:00"/>
    <x v="20"/>
    <n v="0"/>
    <m/>
    <m/>
    <m/>
    <n v="0"/>
    <n v="0"/>
    <m/>
    <m/>
    <m/>
    <m/>
    <m/>
    <m/>
    <m/>
    <m/>
    <m/>
    <m/>
    <m/>
    <m/>
    <m/>
    <m/>
    <m/>
    <m/>
    <m/>
    <m/>
    <m/>
    <m/>
    <m/>
    <m/>
    <m/>
    <m/>
    <m/>
    <m/>
    <m/>
    <m/>
    <x v="1"/>
  </r>
  <r>
    <n v="4"/>
    <x v="4"/>
    <x v="0"/>
    <n v="1"/>
    <m/>
    <m/>
    <m/>
    <m/>
    <n v="0"/>
    <m/>
    <s v="u"/>
    <n v="1"/>
    <s v="Hello"/>
    <x v="0"/>
    <x v="1"/>
    <x v="8"/>
    <m/>
    <m/>
    <m/>
    <m/>
    <d v="2025-03-12T00:00:00"/>
    <x v="21"/>
    <n v="5"/>
    <m/>
    <m/>
    <m/>
    <n v="0"/>
    <n v="0"/>
    <m/>
    <m/>
    <m/>
    <m/>
    <m/>
    <m/>
    <m/>
    <m/>
    <m/>
    <m/>
    <m/>
    <m/>
    <m/>
    <m/>
    <m/>
    <m/>
    <m/>
    <m/>
    <m/>
    <m/>
    <m/>
    <m/>
    <m/>
    <m/>
    <m/>
    <m/>
    <m/>
    <m/>
    <x v="1"/>
  </r>
  <r>
    <n v="4"/>
    <x v="4"/>
    <x v="0"/>
    <n v="5"/>
    <m/>
    <m/>
    <m/>
    <m/>
    <n v="0"/>
    <m/>
    <s v="u"/>
    <n v="2"/>
    <s v="Hello"/>
    <x v="0"/>
    <x v="1"/>
    <x v="8"/>
    <m/>
    <m/>
    <m/>
    <m/>
    <d v="2025-03-19T00:00:00"/>
    <x v="22"/>
    <n v="5"/>
    <m/>
    <m/>
    <m/>
    <n v="0"/>
    <n v="0"/>
    <m/>
    <m/>
    <m/>
    <m/>
    <m/>
    <m/>
    <m/>
    <m/>
    <m/>
    <m/>
    <m/>
    <m/>
    <m/>
    <m/>
    <m/>
    <m/>
    <m/>
    <m/>
    <m/>
    <m/>
    <m/>
    <m/>
    <m/>
    <m/>
    <m/>
    <m/>
    <m/>
    <m/>
    <x v="1"/>
  </r>
  <r>
    <n v="4"/>
    <x v="3"/>
    <x v="1"/>
    <n v="6"/>
    <m/>
    <m/>
    <m/>
    <m/>
    <n v="0"/>
    <m/>
    <s v="u"/>
    <n v="3"/>
    <s v="dgdgdg"/>
    <x v="0"/>
    <x v="1"/>
    <x v="8"/>
    <m/>
    <m/>
    <m/>
    <m/>
    <d v="2025-03-12T00:00:00"/>
    <x v="8"/>
    <n v="0"/>
    <m/>
    <m/>
    <m/>
    <n v="0"/>
    <n v="0"/>
    <m/>
    <m/>
    <m/>
    <m/>
    <m/>
    <m/>
    <m/>
    <m/>
    <m/>
    <m/>
    <m/>
    <m/>
    <m/>
    <m/>
    <m/>
    <m/>
    <m/>
    <m/>
    <m/>
    <m/>
    <m/>
    <m/>
    <m/>
    <m/>
    <m/>
    <m/>
    <m/>
    <m/>
    <x v="1"/>
  </r>
  <r>
    <n v="4"/>
    <x v="4"/>
    <x v="0"/>
    <n v="4"/>
    <m/>
    <m/>
    <m/>
    <m/>
    <n v="0"/>
    <m/>
    <s v="u"/>
    <n v="4"/>
    <s v="Hello"/>
    <x v="1"/>
    <x v="2"/>
    <x v="8"/>
    <m/>
    <m/>
    <m/>
    <m/>
    <d v="2025-03-26T00:00:00"/>
    <x v="23"/>
    <n v="5"/>
    <m/>
    <m/>
    <m/>
    <n v="0"/>
    <n v="0"/>
    <m/>
    <m/>
    <m/>
    <m/>
    <m/>
    <m/>
    <m/>
    <m/>
    <m/>
    <m/>
    <m/>
    <m/>
    <m/>
    <m/>
    <m/>
    <m/>
    <m/>
    <m/>
    <m/>
    <m/>
    <m/>
    <m/>
    <m/>
    <m/>
    <m/>
    <m/>
    <m/>
    <m/>
    <x v="1"/>
  </r>
  <r>
    <n v="4"/>
    <x v="4"/>
    <x v="0"/>
    <n v="3"/>
    <m/>
    <m/>
    <m/>
    <m/>
    <n v="0"/>
    <m/>
    <s v="u"/>
    <n v="5"/>
    <s v="Hello"/>
    <x v="0"/>
    <x v="2"/>
    <x v="8"/>
    <m/>
    <m/>
    <m/>
    <m/>
    <d v="2025-04-02T00:00:00"/>
    <x v="24"/>
    <n v="5"/>
    <m/>
    <m/>
    <m/>
    <n v="0"/>
    <n v="0"/>
    <m/>
    <m/>
    <m/>
    <m/>
    <m/>
    <m/>
    <m/>
    <m/>
    <m/>
    <m/>
    <m/>
    <m/>
    <m/>
    <m/>
    <m/>
    <m/>
    <m/>
    <m/>
    <m/>
    <m/>
    <m/>
    <m/>
    <m/>
    <m/>
    <m/>
    <m/>
    <m/>
    <m/>
    <x v="1"/>
  </r>
  <r>
    <n v="4"/>
    <x v="4"/>
    <x v="0"/>
    <n v="2"/>
    <m/>
    <m/>
    <m/>
    <m/>
    <n v="0"/>
    <m/>
    <s v="u"/>
    <n v="6"/>
    <s v="Hello"/>
    <x v="2"/>
    <x v="2"/>
    <x v="8"/>
    <m/>
    <m/>
    <m/>
    <m/>
    <d v="2025-04-09T00:00:00"/>
    <x v="25"/>
    <n v="5"/>
    <m/>
    <m/>
    <m/>
    <n v="0"/>
    <n v="0"/>
    <m/>
    <m/>
    <m/>
    <m/>
    <m/>
    <m/>
    <m/>
    <m/>
    <m/>
    <m/>
    <m/>
    <m/>
    <m/>
    <m/>
    <m/>
    <m/>
    <m/>
    <m/>
    <m/>
    <m/>
    <m/>
    <m/>
    <m/>
    <m/>
    <m/>
    <m/>
    <m/>
    <m/>
    <x v="1"/>
  </r>
  <r>
    <n v="5"/>
    <x v="3"/>
    <x v="1"/>
    <n v="6"/>
    <m/>
    <m/>
    <m/>
    <m/>
    <n v="0"/>
    <m/>
    <s v="u"/>
    <n v="1"/>
    <s v="Stakeholders Meeting"/>
    <x v="0"/>
    <x v="0"/>
    <x v="8"/>
    <m/>
    <m/>
    <m/>
    <m/>
    <d v="2025-02-24T00:00:00"/>
    <x v="26"/>
    <n v="0"/>
    <m/>
    <m/>
    <m/>
    <n v="100"/>
    <n v="1"/>
    <m/>
    <m/>
    <m/>
    <m/>
    <m/>
    <m/>
    <m/>
    <m/>
    <m/>
    <m/>
    <m/>
    <m/>
    <m/>
    <m/>
    <m/>
    <m/>
    <m/>
    <m/>
    <m/>
    <m/>
    <m/>
    <m/>
    <m/>
    <m/>
    <m/>
    <m/>
    <m/>
    <m/>
    <x v="1"/>
  </r>
  <r>
    <n v="5"/>
    <x v="3"/>
    <x v="1"/>
    <n v="7"/>
    <m/>
    <m/>
    <m/>
    <m/>
    <n v="0"/>
    <m/>
    <s v="u"/>
    <n v="2"/>
    <s v="Project Kickoff"/>
    <x v="0"/>
    <x v="0"/>
    <x v="8"/>
    <m/>
    <m/>
    <m/>
    <m/>
    <d v="2025-02-27T00:00:00"/>
    <x v="5"/>
    <n v="0"/>
    <m/>
    <m/>
    <m/>
    <n v="100"/>
    <n v="1"/>
    <m/>
    <m/>
    <m/>
    <m/>
    <m/>
    <m/>
    <m/>
    <m/>
    <m/>
    <m/>
    <m/>
    <m/>
    <m/>
    <m/>
    <m/>
    <m/>
    <m/>
    <m/>
    <m/>
    <m/>
    <m/>
    <m/>
    <m/>
    <m/>
    <m/>
    <m/>
    <m/>
    <m/>
    <x v="1"/>
  </r>
  <r>
    <n v="5"/>
    <x v="3"/>
    <x v="1"/>
    <n v="8"/>
    <m/>
    <m/>
    <m/>
    <m/>
    <n v="0"/>
    <m/>
    <s v="u"/>
    <n v="3"/>
    <s v="Phase 1"/>
    <x v="0"/>
    <x v="1"/>
    <x v="8"/>
    <m/>
    <m/>
    <m/>
    <m/>
    <d v="2025-03-03T00:00:00"/>
    <x v="12"/>
    <n v="0"/>
    <m/>
    <m/>
    <m/>
    <n v="0"/>
    <n v="0"/>
    <m/>
    <m/>
    <m/>
    <m/>
    <m/>
    <m/>
    <m/>
    <m/>
    <m/>
    <m/>
    <m/>
    <m/>
    <m/>
    <m/>
    <m/>
    <m/>
    <m/>
    <m/>
    <m/>
    <m/>
    <m/>
    <m/>
    <m/>
    <m/>
    <m/>
    <m/>
    <m/>
    <m/>
    <x v="1"/>
  </r>
  <r>
    <n v="5"/>
    <x v="3"/>
    <x v="1"/>
    <n v="9"/>
    <m/>
    <m/>
    <m/>
    <m/>
    <n v="0"/>
    <m/>
    <s v="u"/>
    <n v="4"/>
    <s v="Training Completion"/>
    <x v="0"/>
    <x v="1"/>
    <x v="8"/>
    <m/>
    <m/>
    <m/>
    <m/>
    <d v="2025-03-06T00:00:00"/>
    <x v="6"/>
    <n v="0"/>
    <m/>
    <m/>
    <m/>
    <n v="0"/>
    <n v="0"/>
    <m/>
    <m/>
    <m/>
    <m/>
    <m/>
    <m/>
    <m/>
    <m/>
    <m/>
    <m/>
    <m/>
    <m/>
    <m/>
    <m/>
    <m/>
    <m/>
    <m/>
    <m/>
    <m/>
    <m/>
    <m/>
    <m/>
    <m/>
    <m/>
    <m/>
    <m/>
    <m/>
    <m/>
    <x v="1"/>
  </r>
  <r>
    <n v="5"/>
    <x v="3"/>
    <x v="1"/>
    <n v="10"/>
    <m/>
    <m/>
    <m/>
    <m/>
    <n v="0"/>
    <m/>
    <s v="u"/>
    <n v="5"/>
    <s v="Go Live"/>
    <x v="0"/>
    <x v="1"/>
    <x v="8"/>
    <m/>
    <m/>
    <m/>
    <m/>
    <d v="2025-03-10T00:00:00"/>
    <x v="27"/>
    <n v="0"/>
    <m/>
    <m/>
    <m/>
    <n v="0"/>
    <n v="0"/>
    <m/>
    <m/>
    <m/>
    <m/>
    <m/>
    <m/>
    <m/>
    <m/>
    <m/>
    <m/>
    <m/>
    <m/>
    <m/>
    <m/>
    <m/>
    <m/>
    <m/>
    <m/>
    <m/>
    <m/>
    <m/>
    <m/>
    <m/>
    <m/>
    <m/>
    <m/>
    <m/>
    <m/>
    <x v="1"/>
  </r>
  <r>
    <n v="6"/>
    <x v="0"/>
    <x v="0"/>
    <n v="1"/>
    <m/>
    <m/>
    <m/>
    <m/>
    <n v="0"/>
    <m/>
    <s v="u"/>
    <n v="1"/>
    <s v="Architectural Design"/>
    <x v="0"/>
    <x v="0"/>
    <x v="0"/>
    <m/>
    <m/>
    <m/>
    <m/>
    <d v="2025-02-18T00:00:00"/>
    <x v="28"/>
    <n v="8"/>
    <m/>
    <m/>
    <m/>
    <n v="100"/>
    <n v="1"/>
    <m/>
    <m/>
    <m/>
    <n v="300000"/>
    <n v="2700"/>
    <n v="128600"/>
    <m/>
    <m/>
    <m/>
    <m/>
    <m/>
    <m/>
    <m/>
    <m/>
    <m/>
    <m/>
    <m/>
    <m/>
    <m/>
    <m/>
    <m/>
    <m/>
    <m/>
    <m/>
    <m/>
    <m/>
    <m/>
    <m/>
    <x v="1"/>
  </r>
  <r>
    <n v="6"/>
    <x v="1"/>
    <x v="0"/>
    <n v="2"/>
    <m/>
    <m/>
    <m/>
    <m/>
    <n v="1"/>
    <m/>
    <s v="u"/>
    <n v="1.1000000000000001"/>
    <s v="Create draft of architecture"/>
    <x v="0"/>
    <x v="0"/>
    <x v="0"/>
    <m/>
    <m/>
    <m/>
    <m/>
    <d v="2025-02-18T00:00:00"/>
    <x v="2"/>
    <n v="5"/>
    <m/>
    <m/>
    <m/>
    <n v="100"/>
    <n v="1"/>
    <m/>
    <m/>
    <m/>
    <m/>
    <n v="2700"/>
    <m/>
    <m/>
    <m/>
    <m/>
    <m/>
    <m/>
    <m/>
    <m/>
    <m/>
    <m/>
    <m/>
    <m/>
    <m/>
    <m/>
    <m/>
    <m/>
    <m/>
    <m/>
    <m/>
    <m/>
    <m/>
    <m/>
    <m/>
    <x v="1"/>
  </r>
  <r>
    <n v="6"/>
    <x v="2"/>
    <x v="0"/>
    <n v="4"/>
    <m/>
    <s v="3|"/>
    <m/>
    <m/>
    <n v="2"/>
    <m/>
    <s v="u"/>
    <s v="1.1.1"/>
    <s v="Prepare construction documents"/>
    <x v="0"/>
    <x v="0"/>
    <x v="1"/>
    <m/>
    <m/>
    <m/>
    <m/>
    <d v="2025-02-18T00:00:00"/>
    <x v="2"/>
    <n v="5"/>
    <m/>
    <m/>
    <m/>
    <n v="100"/>
    <n v="1"/>
    <m/>
    <m/>
    <m/>
    <m/>
    <n v="2700"/>
    <m/>
    <m/>
    <m/>
    <m/>
    <m/>
    <m/>
    <m/>
    <m/>
    <m/>
    <m/>
    <m/>
    <m/>
    <m/>
    <m/>
    <m/>
    <m/>
    <m/>
    <m/>
    <m/>
    <m/>
    <m/>
    <m/>
    <m/>
    <x v="1"/>
  </r>
  <r>
    <n v="6"/>
    <x v="2"/>
    <x v="0"/>
    <n v="3"/>
    <s v="4_FS_0|"/>
    <s v="6|"/>
    <n v="45711"/>
    <m/>
    <n v="1"/>
    <m/>
    <s v="u"/>
    <n v="1.2"/>
    <s v="Agreement to architectural plan"/>
    <x v="0"/>
    <x v="0"/>
    <x v="0"/>
    <m/>
    <m/>
    <m/>
    <m/>
    <d v="2025-02-23T00:00:00"/>
    <x v="29"/>
    <n v="3"/>
    <m/>
    <m/>
    <m/>
    <n v="100"/>
    <n v="1"/>
    <m/>
    <m/>
    <m/>
    <m/>
    <m/>
    <m/>
    <m/>
    <m/>
    <m/>
    <m/>
    <m/>
    <m/>
    <m/>
    <m/>
    <m/>
    <m/>
    <m/>
    <m/>
    <m/>
    <m/>
    <m/>
    <m/>
    <m/>
    <m/>
    <m/>
    <m/>
    <m/>
    <m/>
    <x v="1"/>
  </r>
  <r>
    <n v="6"/>
    <x v="3"/>
    <x v="1"/>
    <n v="6"/>
    <s v="3_FS_0|"/>
    <s v="9|"/>
    <n v="45714"/>
    <m/>
    <n v="1"/>
    <m/>
    <s v="u"/>
    <n v="1.3"/>
    <s v="Sign agreement with Client"/>
    <x v="1"/>
    <x v="0"/>
    <x v="0"/>
    <m/>
    <m/>
    <m/>
    <m/>
    <d v="2025-02-26T00:00:00"/>
    <x v="28"/>
    <n v="0"/>
    <m/>
    <m/>
    <m/>
    <n v="100"/>
    <n v="1"/>
    <m/>
    <m/>
    <m/>
    <n v="300000"/>
    <m/>
    <n v="128600"/>
    <m/>
    <m/>
    <m/>
    <m/>
    <m/>
    <m/>
    <m/>
    <m/>
    <m/>
    <m/>
    <m/>
    <m/>
    <m/>
    <m/>
    <m/>
    <m/>
    <m/>
    <m/>
    <m/>
    <m/>
    <m/>
    <m/>
    <x v="1"/>
  </r>
  <r>
    <n v="6"/>
    <x v="0"/>
    <x v="0"/>
    <n v="7"/>
    <m/>
    <m/>
    <m/>
    <m/>
    <n v="0"/>
    <m/>
    <s v="u"/>
    <n v="2"/>
    <s v="Construction Phase"/>
    <x v="0"/>
    <x v="1"/>
    <x v="0"/>
    <m/>
    <m/>
    <m/>
    <m/>
    <d v="2025-02-27T00:00:00"/>
    <x v="8"/>
    <n v="23"/>
    <m/>
    <m/>
    <m/>
    <n v="0"/>
    <n v="0.66666666666666652"/>
    <m/>
    <m/>
    <m/>
    <n v="25000"/>
    <n v="201800"/>
    <n v="42500"/>
    <m/>
    <m/>
    <m/>
    <m/>
    <m/>
    <m/>
    <m/>
    <m/>
    <m/>
    <m/>
    <m/>
    <m/>
    <m/>
    <m/>
    <m/>
    <m/>
    <m/>
    <m/>
    <m/>
    <m/>
    <m/>
    <m/>
    <x v="1"/>
  </r>
  <r>
    <n v="6"/>
    <x v="1"/>
    <x v="0"/>
    <n v="8"/>
    <m/>
    <m/>
    <m/>
    <m/>
    <n v="1"/>
    <m/>
    <s v="u"/>
    <n v="2.1"/>
    <s v="Foundation"/>
    <x v="0"/>
    <x v="0"/>
    <x v="2"/>
    <m/>
    <m/>
    <m/>
    <m/>
    <d v="2025-02-27T00:00:00"/>
    <x v="15"/>
    <n v="14"/>
    <m/>
    <m/>
    <m/>
    <n v="100"/>
    <n v="1"/>
    <m/>
    <m/>
    <m/>
    <n v="25000"/>
    <n v="73800"/>
    <n v="42500"/>
    <m/>
    <m/>
    <m/>
    <m/>
    <m/>
    <m/>
    <m/>
    <m/>
    <m/>
    <m/>
    <m/>
    <m/>
    <m/>
    <m/>
    <m/>
    <m/>
    <m/>
    <m/>
    <m/>
    <m/>
    <m/>
    <m/>
    <x v="1"/>
  </r>
  <r>
    <n v="6"/>
    <x v="2"/>
    <x v="0"/>
    <n v="9"/>
    <s v="6_FS_0|"/>
    <s v="10|"/>
    <n v="45715"/>
    <m/>
    <n v="2"/>
    <m/>
    <s v="u"/>
    <s v="2.1.1"/>
    <s v="Excavation"/>
    <x v="0"/>
    <x v="0"/>
    <x v="2"/>
    <m/>
    <m/>
    <m/>
    <m/>
    <d v="2025-02-27T00:00:00"/>
    <x v="30"/>
    <n v="4"/>
    <m/>
    <m/>
    <m/>
    <n v="100"/>
    <n v="1"/>
    <m/>
    <m/>
    <m/>
    <n v="25000"/>
    <n v="35000"/>
    <n v="42500"/>
    <m/>
    <m/>
    <m/>
    <m/>
    <m/>
    <m/>
    <m/>
    <m/>
    <m/>
    <m/>
    <m/>
    <m/>
    <m/>
    <m/>
    <m/>
    <m/>
    <m/>
    <m/>
    <m/>
    <m/>
    <m/>
    <m/>
    <x v="1"/>
  </r>
  <r>
    <n v="6"/>
    <x v="2"/>
    <x v="0"/>
    <n v="10"/>
    <s v="9_FS_-2|"/>
    <s v="11|"/>
    <n v="45717"/>
    <m/>
    <n v="2"/>
    <m/>
    <s v="u"/>
    <s v="2.1.2"/>
    <s v="Pour Concrete"/>
    <x v="0"/>
    <x v="0"/>
    <x v="3"/>
    <m/>
    <m/>
    <m/>
    <m/>
    <d v="2025-03-01T00:00:00"/>
    <x v="15"/>
    <n v="6"/>
    <m/>
    <m/>
    <m/>
    <n v="100"/>
    <n v="1"/>
    <m/>
    <m/>
    <m/>
    <m/>
    <n v="35000"/>
    <m/>
    <m/>
    <m/>
    <m/>
    <m/>
    <m/>
    <m/>
    <m/>
    <m/>
    <m/>
    <m/>
    <m/>
    <m/>
    <m/>
    <m/>
    <m/>
    <m/>
    <m/>
    <m/>
    <m/>
    <m/>
    <m/>
    <m/>
    <x v="1"/>
  </r>
  <r>
    <n v="6"/>
    <x v="2"/>
    <x v="0"/>
    <n v="11"/>
    <s v="10_SS_0|"/>
    <s v="13|"/>
    <n v="45717"/>
    <m/>
    <n v="2"/>
    <m/>
    <s v="u"/>
    <s v="2.1.3"/>
    <s v="Level Concrete"/>
    <x v="0"/>
    <x v="0"/>
    <x v="3"/>
    <m/>
    <m/>
    <m/>
    <m/>
    <d v="2025-03-01T00:00:00"/>
    <x v="14"/>
    <n v="4"/>
    <m/>
    <m/>
    <m/>
    <n v="100"/>
    <n v="1"/>
    <m/>
    <m/>
    <m/>
    <m/>
    <n v="3800"/>
    <m/>
    <m/>
    <m/>
    <m/>
    <m/>
    <m/>
    <m/>
    <m/>
    <m/>
    <m/>
    <m/>
    <m/>
    <m/>
    <m/>
    <m/>
    <m/>
    <m/>
    <m/>
    <m/>
    <m/>
    <m/>
    <m/>
    <m/>
    <x v="1"/>
  </r>
  <r>
    <n v="6"/>
    <x v="1"/>
    <x v="0"/>
    <n v="12"/>
    <m/>
    <m/>
    <m/>
    <m/>
    <n v="1"/>
    <m/>
    <s v="u"/>
    <n v="2.2000000000000002"/>
    <s v="Ground Floor"/>
    <x v="0"/>
    <x v="1"/>
    <x v="4"/>
    <m/>
    <m/>
    <m/>
    <m/>
    <d v="2025-03-06T00:00:00"/>
    <x v="8"/>
    <n v="9"/>
    <m/>
    <m/>
    <m/>
    <n v="0"/>
    <n v="0.33333333333333331"/>
    <m/>
    <m/>
    <m/>
    <m/>
    <n v="128000"/>
    <m/>
    <m/>
    <m/>
    <m/>
    <m/>
    <m/>
    <m/>
    <m/>
    <m/>
    <m/>
    <m/>
    <m/>
    <m/>
    <m/>
    <m/>
    <m/>
    <m/>
    <m/>
    <m/>
    <m/>
    <m/>
    <m/>
    <m/>
    <x v="1"/>
  </r>
  <r>
    <n v="6"/>
    <x v="2"/>
    <x v="0"/>
    <n v="13"/>
    <s v="11_FS_0|"/>
    <s v="19|14|"/>
    <n v="45722"/>
    <m/>
    <n v="2"/>
    <m/>
    <s v="u"/>
    <s v="2.2.1"/>
    <s v="Walls to 1st Floor"/>
    <x v="1"/>
    <x v="1"/>
    <x v="4"/>
    <m/>
    <m/>
    <m/>
    <m/>
    <d v="2025-03-06T00:00:00"/>
    <x v="3"/>
    <n v="4"/>
    <m/>
    <m/>
    <m/>
    <n v="0"/>
    <n v="0.5"/>
    <m/>
    <m/>
    <m/>
    <m/>
    <n v="65000"/>
    <m/>
    <m/>
    <m/>
    <m/>
    <m/>
    <m/>
    <m/>
    <m/>
    <m/>
    <m/>
    <m/>
    <m/>
    <m/>
    <m/>
    <m/>
    <m/>
    <m/>
    <m/>
    <m/>
    <m/>
    <m/>
    <m/>
    <m/>
    <x v="1"/>
  </r>
  <r>
    <n v="6"/>
    <x v="2"/>
    <x v="0"/>
    <n v="19"/>
    <s v="13_FS_0|"/>
    <m/>
    <n v="45726"/>
    <m/>
    <n v="2"/>
    <m/>
    <s v="u"/>
    <s v="2.2.2"/>
    <s v="Windows/ Doors"/>
    <x v="0"/>
    <x v="1"/>
    <x v="4"/>
    <m/>
    <m/>
    <m/>
    <m/>
    <d v="2025-03-10T00:00:00"/>
    <x v="13"/>
    <n v="2"/>
    <m/>
    <m/>
    <m/>
    <n v="0"/>
    <n v="0.25"/>
    <m/>
    <m/>
    <m/>
    <m/>
    <n v="47000"/>
    <m/>
    <m/>
    <m/>
    <m/>
    <m/>
    <m/>
    <m/>
    <m/>
    <m/>
    <m/>
    <m/>
    <m/>
    <m/>
    <m/>
    <m/>
    <m/>
    <m/>
    <m/>
    <m/>
    <m/>
    <m/>
    <m/>
    <m/>
    <x v="1"/>
  </r>
  <r>
    <n v="6"/>
    <x v="2"/>
    <x v="0"/>
    <n v="14"/>
    <s v="13_FS_0|"/>
    <s v="16|"/>
    <n v="45726"/>
    <m/>
    <n v="2"/>
    <m/>
    <s v="u"/>
    <s v="2.2.3"/>
    <s v="Roof structure"/>
    <x v="0"/>
    <x v="1"/>
    <x v="5"/>
    <m/>
    <m/>
    <m/>
    <m/>
    <d v="2025-03-10T00:00:00"/>
    <x v="8"/>
    <n v="3"/>
    <m/>
    <m/>
    <m/>
    <n v="0"/>
    <n v="0.25"/>
    <m/>
    <m/>
    <m/>
    <m/>
    <n v="16000"/>
    <m/>
    <m/>
    <m/>
    <m/>
    <m/>
    <m/>
    <m/>
    <m/>
    <m/>
    <m/>
    <m/>
    <m/>
    <m/>
    <m/>
    <m/>
    <m/>
    <m/>
    <m/>
    <m/>
    <m/>
    <m/>
    <m/>
    <m/>
    <x v="1"/>
  </r>
  <r>
    <n v="6"/>
    <x v="0"/>
    <x v="0"/>
    <n v="15"/>
    <m/>
    <m/>
    <m/>
    <m/>
    <n v="0"/>
    <m/>
    <s v="u"/>
    <n v="3"/>
    <s v="Decoration Phase"/>
    <x v="0"/>
    <x v="1"/>
    <x v="5"/>
    <m/>
    <m/>
    <m/>
    <m/>
    <d v="2025-03-13T00:00:00"/>
    <x v="10"/>
    <n v="6"/>
    <m/>
    <m/>
    <m/>
    <n v="0"/>
    <n v="0"/>
    <m/>
    <m/>
    <m/>
    <m/>
    <n v="93500"/>
    <m/>
    <m/>
    <m/>
    <m/>
    <m/>
    <m/>
    <m/>
    <m/>
    <m/>
    <m/>
    <m/>
    <m/>
    <m/>
    <m/>
    <m/>
    <m/>
    <m/>
    <m/>
    <m/>
    <m/>
    <m/>
    <m/>
    <m/>
    <x v="1"/>
  </r>
  <r>
    <n v="6"/>
    <x v="2"/>
    <x v="0"/>
    <n v="16"/>
    <s v="14_FS_0|"/>
    <s v="17|"/>
    <n v="45729"/>
    <m/>
    <n v="1"/>
    <m/>
    <s v="u"/>
    <n v="3.1"/>
    <s v="Walls and Tiles"/>
    <x v="0"/>
    <x v="1"/>
    <x v="4"/>
    <m/>
    <m/>
    <m/>
    <m/>
    <d v="2025-03-13T00:00:00"/>
    <x v="10"/>
    <n v="3"/>
    <m/>
    <m/>
    <m/>
    <n v="0"/>
    <n v="0"/>
    <m/>
    <m/>
    <m/>
    <m/>
    <n v="13500"/>
    <m/>
    <m/>
    <m/>
    <m/>
    <m/>
    <m/>
    <m/>
    <m/>
    <m/>
    <m/>
    <m/>
    <m/>
    <m/>
    <m/>
    <m/>
    <m/>
    <m/>
    <m/>
    <m/>
    <m/>
    <m/>
    <m/>
    <m/>
    <x v="1"/>
  </r>
  <r>
    <n v="6"/>
    <x v="2"/>
    <x v="0"/>
    <n v="17"/>
    <s v="16_SS_0|"/>
    <s v="18|"/>
    <n v="45729"/>
    <m/>
    <n v="1"/>
    <m/>
    <s v="u"/>
    <n v="3.2"/>
    <s v="Interiors/ Furniture"/>
    <x v="2"/>
    <x v="1"/>
    <x v="6"/>
    <m/>
    <m/>
    <m/>
    <m/>
    <d v="2025-03-13T00:00:00"/>
    <x v="10"/>
    <n v="3"/>
    <m/>
    <m/>
    <m/>
    <n v="0"/>
    <n v="0"/>
    <m/>
    <m/>
    <m/>
    <m/>
    <n v="80000"/>
    <m/>
    <m/>
    <m/>
    <m/>
    <m/>
    <m/>
    <m/>
    <m/>
    <m/>
    <m/>
    <m/>
    <m/>
    <m/>
    <m/>
    <m/>
    <m/>
    <m/>
    <m/>
    <m/>
    <m/>
    <m/>
    <m/>
    <m/>
    <x v="1"/>
  </r>
  <r>
    <n v="6"/>
    <x v="4"/>
    <x v="0"/>
    <n v="18"/>
    <s v="17_FS_0|"/>
    <s v="20|"/>
    <n v="45732"/>
    <m/>
    <n v="0"/>
    <m/>
    <s v="u"/>
    <n v="4"/>
    <s v="Final touches"/>
    <x v="0"/>
    <x v="1"/>
    <x v="0"/>
    <m/>
    <m/>
    <m/>
    <m/>
    <d v="2025-03-16T00:00:00"/>
    <x v="21"/>
    <n v="2"/>
    <m/>
    <m/>
    <m/>
    <n v="0"/>
    <n v="0"/>
    <m/>
    <m/>
    <m/>
    <m/>
    <n v="20000"/>
    <m/>
    <m/>
    <m/>
    <m/>
    <m/>
    <m/>
    <m/>
    <m/>
    <m/>
    <m/>
    <m/>
    <m/>
    <m/>
    <m/>
    <m/>
    <m/>
    <m/>
    <m/>
    <m/>
    <m/>
    <m/>
    <m/>
    <m/>
    <x v="1"/>
  </r>
  <r>
    <n v="6"/>
    <x v="3"/>
    <x v="1"/>
    <n v="20"/>
    <s v="18_FS_0|"/>
    <m/>
    <n v="45735"/>
    <m/>
    <n v="0"/>
    <m/>
    <s v="u"/>
    <n v="5"/>
    <s v="Move in with Family"/>
    <x v="0"/>
    <x v="1"/>
    <x v="7"/>
    <m/>
    <m/>
    <m/>
    <m/>
    <d v="2025-03-19T00:00:00"/>
    <x v="31"/>
    <n v="0"/>
    <m/>
    <m/>
    <m/>
    <n v="0"/>
    <n v="0"/>
    <m/>
    <m/>
    <m/>
    <m/>
    <m/>
    <m/>
    <m/>
    <m/>
    <m/>
    <m/>
    <m/>
    <m/>
    <m/>
    <m/>
    <m/>
    <m/>
    <m/>
    <m/>
    <m/>
    <m/>
    <m/>
    <m/>
    <m/>
    <m/>
    <m/>
    <m/>
    <m/>
    <m/>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606ACC-E0AD-41A9-8B1E-8CC3187B4783}" name="PT1" cacheId="0"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215">
  <location ref="A4:B6" firstHeaderRow="1" firstDataRow="1" firstDataCol="1" rowPageCount="2" colPageCount="1"/>
  <pivotFields count="58">
    <pivotField showAll="0"/>
    <pivotField axis="axisPage" showAll="0">
      <items count="8">
        <item x="4"/>
        <item h="1" x="0"/>
        <item x="2"/>
        <item h="1" x="1"/>
        <item h="1" m="1" x="6"/>
        <item h="1" m="1" x="5"/>
        <item h="1" x="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axis="axisRow" showAll="0">
      <items count="6">
        <item x="0"/>
        <item m="1" x="3"/>
        <item x="1"/>
        <item x="2"/>
        <item m="1" x="4"/>
        <item t="default"/>
      </items>
    </pivotField>
    <pivotField showAll="0">
      <items count="66">
        <item m="1" x="34"/>
        <item x="0"/>
        <item x="2"/>
        <item m="1" x="22"/>
        <item x="7"/>
        <item m="1" x="56"/>
        <item m="1" x="53"/>
        <item m="1" x="24"/>
        <item m="1" x="57"/>
        <item m="1" x="13"/>
        <item x="3"/>
        <item m="1" x="55"/>
        <item m="1" x="41"/>
        <item m="1" x="46"/>
        <item m="1" x="27"/>
        <item m="1" x="12"/>
        <item m="1" x="29"/>
        <item x="4"/>
        <item m="1" x="47"/>
        <item m="1" x="60"/>
        <item m="1" x="14"/>
        <item m="1" x="37"/>
        <item m="1" x="20"/>
        <item m="1" x="11"/>
        <item m="1" x="23"/>
        <item m="1" x="44"/>
        <item m="1" x="59"/>
        <item m="1" x="17"/>
        <item m="1" x="52"/>
        <item m="1" x="25"/>
        <item m="1" x="35"/>
        <item m="1" x="26"/>
        <item m="1" x="36"/>
        <item m="1" x="10"/>
        <item m="1" x="42"/>
        <item x="1"/>
        <item m="1" x="64"/>
        <item m="1" x="28"/>
        <item m="1" x="54"/>
        <item m="1" x="16"/>
        <item m="1" x="18"/>
        <item m="1" x="39"/>
        <item m="1" x="9"/>
        <item m="1" x="49"/>
        <item m="1" x="51"/>
        <item m="1" x="61"/>
        <item x="6"/>
        <item m="1" x="19"/>
        <item m="1" x="40"/>
        <item m="1" x="58"/>
        <item m="1" x="33"/>
        <item m="1" x="63"/>
        <item m="1" x="21"/>
        <item m="1" x="62"/>
        <item x="5"/>
        <item m="1" x="45"/>
        <item m="1" x="30"/>
        <item m="1" x="50"/>
        <item m="1" x="31"/>
        <item m="1" x="38"/>
        <item m="1" x="43"/>
        <item m="1" x="32"/>
        <item m="1" x="15"/>
        <item m="1" x="48"/>
        <item x="8"/>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4"/>
  </rowFields>
  <rowItems count="2">
    <i>
      <x/>
    </i>
    <i>
      <x v="2"/>
    </i>
  </rowItems>
  <colItems count="1">
    <i/>
  </colItems>
  <pageFields count="2">
    <pageField fld="56" hier="-1"/>
    <pageField fld="1" hier="-1"/>
  </pageFields>
  <dataFields count="1">
    <dataField name="Count of tID" fld="3" subtotal="count" baseField="0" baseItem="0"/>
  </dataFields>
  <chartFormats count="16">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 chart="210" format="17" series="1">
      <pivotArea type="data" outline="0" fieldPosition="0">
        <references count="1">
          <reference field="4294967294" count="1" selected="0">
            <x v="0"/>
          </reference>
        </references>
      </pivotArea>
    </chartFormat>
    <chartFormat chart="210" format="18">
      <pivotArea type="data" outline="0" fieldPosition="0">
        <references count="1">
          <reference field="4294967294" count="1" selected="0">
            <x v="0"/>
          </reference>
        </references>
      </pivotArea>
    </chartFormat>
    <chartFormat chart="210" format="19">
      <pivotArea type="data" outline="0" fieldPosition="0">
        <references count="2">
          <reference field="4294967294" count="1" selected="0">
            <x v="0"/>
          </reference>
          <reference field="14" count="1" selected="0">
            <x v="0"/>
          </reference>
        </references>
      </pivotArea>
    </chartFormat>
    <chartFormat chart="210" format="20">
      <pivotArea type="data" outline="0" fieldPosition="0">
        <references count="2">
          <reference field="4294967294" count="1" selected="0">
            <x v="0"/>
          </reference>
          <reference field="14" count="1" selected="0">
            <x v="2"/>
          </reference>
        </references>
      </pivotArea>
    </chartFormat>
    <chartFormat chart="210" format="21">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C398EF9-2849-49DF-8385-3EF98555A8FD}" name="PT5" cacheId="0"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38">
  <location ref="AP4:AQ13" firstHeaderRow="1" firstDataRow="1" firstDataCol="1" rowPageCount="2" colPageCount="1"/>
  <pivotFields count="58">
    <pivotField showAll="0"/>
    <pivotField axis="axisPage" showAll="0">
      <items count="8">
        <item x="2"/>
        <item h="1" x="0"/>
        <item h="1" x="1"/>
        <item x="4"/>
        <item h="1" m="1" x="6"/>
        <item h="1" m="1" x="5"/>
        <item h="1" x="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m="1" x="3"/>
        <item x="1"/>
        <item x="2"/>
        <item m="1" x="4"/>
        <item t="default"/>
      </items>
    </pivotField>
    <pivotField showAll="0">
      <items count="66">
        <item m="1" x="34"/>
        <item x="0"/>
        <item x="2"/>
        <item m="1" x="22"/>
        <item x="7"/>
        <item m="1" x="56"/>
        <item m="1" x="53"/>
        <item m="1" x="24"/>
        <item m="1" x="57"/>
        <item m="1" x="13"/>
        <item x="3"/>
        <item m="1" x="55"/>
        <item m="1" x="41"/>
        <item m="1" x="46"/>
        <item m="1" x="27"/>
        <item m="1" x="12"/>
        <item m="1" x="29"/>
        <item x="4"/>
        <item m="1" x="47"/>
        <item m="1" x="60"/>
        <item m="1" x="14"/>
        <item m="1" x="37"/>
        <item m="1" x="20"/>
        <item m="1" x="11"/>
        <item m="1" x="23"/>
        <item m="1" x="44"/>
        <item m="1" x="59"/>
        <item m="1" x="17"/>
        <item m="1" x="52"/>
        <item m="1" x="25"/>
        <item m="1" x="35"/>
        <item m="1" x="26"/>
        <item m="1" x="36"/>
        <item m="1" x="10"/>
        <item m="1" x="42"/>
        <item x="1"/>
        <item m="1" x="64"/>
        <item m="1" x="28"/>
        <item m="1" x="54"/>
        <item m="1" x="16"/>
        <item m="1" x="18"/>
        <item m="1" x="39"/>
        <item m="1" x="9"/>
        <item m="1" x="49"/>
        <item m="1" x="51"/>
        <item m="1" x="61"/>
        <item x="6"/>
        <item m="1" x="19"/>
        <item m="1" x="40"/>
        <item m="1" x="58"/>
        <item m="1" x="33"/>
        <item m="1" x="63"/>
        <item m="1" x="21"/>
        <item m="1" x="62"/>
        <item x="5"/>
        <item m="1" x="45"/>
        <item m="1" x="30"/>
        <item m="1" x="50"/>
        <item m="1" x="31"/>
        <item m="1" x="38"/>
        <item m="1" x="43"/>
        <item m="1" x="32"/>
        <item m="1" x="15"/>
        <item m="1" x="48"/>
        <item x="8"/>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9">
    <i>
      <x v="51"/>
    </i>
    <i>
      <x v="52"/>
    </i>
    <i>
      <x v="57"/>
    </i>
    <i>
      <x v="60"/>
    </i>
    <i>
      <x v="65"/>
    </i>
    <i>
      <x v="67"/>
    </i>
    <i>
      <x v="68"/>
    </i>
    <i>
      <x v="71"/>
    </i>
    <i>
      <x v="73"/>
    </i>
  </rowItems>
  <colItems count="1">
    <i/>
  </colItems>
  <pageFields count="2">
    <pageField fld="56"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DDEDB68-BC0D-42A6-9E77-51DB5C235C2A}" name="PT6" cacheId="0"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38">
  <location ref="BA4:BA11" firstHeaderRow="1" firstDataRow="1" firstDataCol="1" rowPageCount="2" colPageCount="1"/>
  <pivotFields count="58">
    <pivotField showAll="0"/>
    <pivotField axis="axisPage" showAll="0">
      <items count="8">
        <item x="2"/>
        <item h="1" x="0"/>
        <item h="1" x="1"/>
        <item x="4"/>
        <item h="1" m="1" x="6"/>
        <item h="1" m="1" x="5"/>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m="1" x="3"/>
        <item x="1"/>
        <item x="2"/>
        <item m="1" x="4"/>
        <item t="default"/>
      </items>
    </pivotField>
    <pivotField axis="axisRow" showAll="0">
      <items count="66">
        <item m="1" x="56"/>
        <item m="1" x="14"/>
        <item m="1" x="52"/>
        <item m="1" x="35"/>
        <item m="1" x="26"/>
        <item m="1" x="64"/>
        <item m="1" x="28"/>
        <item m="1" x="54"/>
        <item m="1" x="40"/>
        <item m="1" x="58"/>
        <item m="1" x="48"/>
        <item x="8"/>
        <item m="1" x="62"/>
        <item m="1" x="60"/>
        <item m="1" x="21"/>
        <item m="1" x="33"/>
        <item m="1" x="53"/>
        <item m="1" x="17"/>
        <item m="1" x="63"/>
        <item m="1" x="46"/>
        <item m="1" x="41"/>
        <item m="1" x="55"/>
        <item m="1" x="42"/>
        <item m="1" x="32"/>
        <item m="1" x="29"/>
        <item m="1" x="19"/>
        <item m="1" x="15"/>
        <item m="1" x="16"/>
        <item m="1" x="36"/>
        <item m="1" x="49"/>
        <item m="1" x="25"/>
        <item m="1" x="22"/>
        <item m="1" x="34"/>
        <item m="1" x="18"/>
        <item m="1" x="59"/>
        <item m="1" x="44"/>
        <item m="1" x="51"/>
        <item m="1" x="61"/>
        <item m="1" x="27"/>
        <item m="1" x="23"/>
        <item m="1" x="39"/>
        <item m="1" x="37"/>
        <item m="1" x="20"/>
        <item m="1" x="24"/>
        <item m="1" x="57"/>
        <item m="1" x="47"/>
        <item m="1" x="50"/>
        <item m="1" x="43"/>
        <item m="1" x="38"/>
        <item m="1" x="45"/>
        <item m="1" x="31"/>
        <item m="1" x="30"/>
        <item m="1" x="9"/>
        <item m="1" x="10"/>
        <item m="1" x="11"/>
        <item m="1" x="12"/>
        <item m="1" x="13"/>
        <item x="0"/>
        <item x="5"/>
        <item x="6"/>
        <item x="4"/>
        <item x="2"/>
        <item x="3"/>
        <item x="1"/>
        <item x="7"/>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7">
    <i>
      <x v="57"/>
    </i>
    <i>
      <x v="58"/>
    </i>
    <i>
      <x v="59"/>
    </i>
    <i>
      <x v="60"/>
    </i>
    <i>
      <x v="61"/>
    </i>
    <i>
      <x v="62"/>
    </i>
    <i>
      <x v="63"/>
    </i>
  </rowItems>
  <colItems count="1">
    <i/>
  </colItem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7D36175-525E-4048-8E0C-9C2F7472F5B6}" name="PT4" cacheId="0"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58">
    <pivotField showAll="0"/>
    <pivotField showAll="0"/>
    <pivotField axis="axisPage"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m="1" x="3"/>
        <item x="1"/>
        <item x="2"/>
        <item m="1" x="4"/>
        <item t="default"/>
      </items>
    </pivotField>
    <pivotField showAll="0">
      <items count="66">
        <item m="1" x="34"/>
        <item x="0"/>
        <item x="2"/>
        <item m="1" x="22"/>
        <item x="7"/>
        <item m="1" x="56"/>
        <item m="1" x="53"/>
        <item m="1" x="24"/>
        <item m="1" x="57"/>
        <item m="1" x="13"/>
        <item x="3"/>
        <item m="1" x="55"/>
        <item m="1" x="41"/>
        <item m="1" x="46"/>
        <item m="1" x="27"/>
        <item m="1" x="12"/>
        <item m="1" x="29"/>
        <item x="4"/>
        <item m="1" x="47"/>
        <item m="1" x="60"/>
        <item m="1" x="14"/>
        <item m="1" x="37"/>
        <item m="1" x="20"/>
        <item m="1" x="11"/>
        <item m="1" x="23"/>
        <item m="1" x="44"/>
        <item m="1" x="59"/>
        <item m="1" x="17"/>
        <item m="1" x="52"/>
        <item m="1" x="25"/>
        <item m="1" x="35"/>
        <item m="1" x="26"/>
        <item m="1" x="36"/>
        <item m="1" x="10"/>
        <item m="1" x="42"/>
        <item x="1"/>
        <item m="1" x="64"/>
        <item m="1" x="28"/>
        <item m="1" x="54"/>
        <item m="1" x="16"/>
        <item m="1" x="18"/>
        <item m="1" x="39"/>
        <item m="1" x="9"/>
        <item m="1" x="49"/>
        <item m="1" x="51"/>
        <item m="1" x="61"/>
        <item x="6"/>
        <item m="1" x="19"/>
        <item m="1" x="40"/>
        <item m="1" x="58"/>
        <item m="1" x="33"/>
        <item m="1" x="63"/>
        <item m="1" x="21"/>
        <item m="1" x="62"/>
        <item x="5"/>
        <item m="1" x="45"/>
        <item m="1" x="30"/>
        <item m="1" x="50"/>
        <item m="1" x="31"/>
        <item m="1" x="38"/>
        <item m="1" x="43"/>
        <item m="1" x="32"/>
        <item m="1" x="15"/>
        <item m="1" x="48"/>
        <item x="8"/>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B33A970-5548-4750-81A4-9F9880C5F3BA}" name="PT2" cacheId="0"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221">
  <location ref="K4:L7" firstHeaderRow="1" firstDataRow="1" firstDataCol="1" rowPageCount="2" colPageCount="1"/>
  <pivotFields count="58">
    <pivotField showAll="0"/>
    <pivotField axis="axisPage" showAll="0">
      <items count="8">
        <item x="4"/>
        <item h="1" x="0"/>
        <item x="2"/>
        <item h="1" x="1"/>
        <item h="1" m="1" x="6"/>
        <item h="1" m="1" x="5"/>
        <item h="1" x="3"/>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1"/>
        <item x="2"/>
        <item x="0"/>
        <item m="1" x="3"/>
        <item t="default"/>
      </items>
    </pivotField>
    <pivotField showAll="0">
      <items count="6">
        <item x="0"/>
        <item m="1" x="3"/>
        <item x="1"/>
        <item x="2"/>
        <item m="1" x="4"/>
        <item t="default"/>
      </items>
    </pivotField>
    <pivotField showAll="0">
      <items count="66">
        <item m="1" x="34"/>
        <item x="0"/>
        <item x="2"/>
        <item m="1" x="22"/>
        <item x="7"/>
        <item m="1" x="56"/>
        <item m="1" x="53"/>
        <item m="1" x="24"/>
        <item m="1" x="57"/>
        <item m="1" x="13"/>
        <item x="3"/>
        <item m="1" x="55"/>
        <item m="1" x="41"/>
        <item m="1" x="46"/>
        <item m="1" x="27"/>
        <item m="1" x="12"/>
        <item m="1" x="29"/>
        <item x="4"/>
        <item m="1" x="47"/>
        <item m="1" x="60"/>
        <item m="1" x="14"/>
        <item m="1" x="37"/>
        <item m="1" x="20"/>
        <item m="1" x="11"/>
        <item m="1" x="23"/>
        <item m="1" x="44"/>
        <item m="1" x="59"/>
        <item m="1" x="17"/>
        <item m="1" x="52"/>
        <item m="1" x="25"/>
        <item m="1" x="35"/>
        <item m="1" x="26"/>
        <item m="1" x="36"/>
        <item m="1" x="10"/>
        <item m="1" x="42"/>
        <item x="1"/>
        <item m="1" x="64"/>
        <item m="1" x="28"/>
        <item m="1" x="54"/>
        <item m="1" x="16"/>
        <item m="1" x="18"/>
        <item m="1" x="39"/>
        <item m="1" x="9"/>
        <item m="1" x="49"/>
        <item m="1" x="51"/>
        <item m="1" x="61"/>
        <item x="6"/>
        <item m="1" x="19"/>
        <item m="1" x="40"/>
        <item m="1" x="58"/>
        <item m="1" x="33"/>
        <item m="1" x="63"/>
        <item m="1" x="21"/>
        <item m="1" x="62"/>
        <item x="5"/>
        <item m="1" x="45"/>
        <item m="1" x="30"/>
        <item m="1" x="50"/>
        <item m="1" x="31"/>
        <item m="1" x="38"/>
        <item m="1" x="43"/>
        <item m="1" x="32"/>
        <item m="1" x="15"/>
        <item m="1" x="48"/>
        <item x="8"/>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3"/>
  </rowFields>
  <rowItems count="3">
    <i>
      <x/>
    </i>
    <i>
      <x v="1"/>
    </i>
    <i>
      <x v="2"/>
    </i>
  </rowItems>
  <colItems count="1">
    <i/>
  </colItems>
  <pageFields count="2">
    <pageField fld="56" hier="-1"/>
    <pageField fld="1" hier="-1"/>
  </pageFields>
  <dataFields count="1">
    <dataField name="Count of tID" fld="3" subtotal="count" baseField="0" baseItem="0"/>
  </dataFields>
  <chartFormats count="12">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 chart="216" format="19" series="1">
      <pivotArea type="data" outline="0" fieldPosition="0">
        <references count="1">
          <reference field="4294967294" count="1" selected="0">
            <x v="0"/>
          </reference>
        </references>
      </pivotArea>
    </chartFormat>
    <chartFormat chart="216" format="20">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76650BF-F9F9-42B0-8C89-50665819B917}" name="PT3" cacheId="0"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232">
  <location ref="U4:V7" firstHeaderRow="1" firstDataRow="1" firstDataCol="1" rowPageCount="2" colPageCount="1"/>
  <pivotFields count="58">
    <pivotField showAll="0"/>
    <pivotField axis="axisPage" showAll="0">
      <items count="8">
        <item h="1" x="2"/>
        <item x="0"/>
        <item h="1" x="1"/>
        <item x="4"/>
        <item h="1" m="1" x="6"/>
        <item h="1" m="1" x="5"/>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m="1" x="3"/>
        <item x="1"/>
        <item x="2"/>
        <item m="1" x="4"/>
        <item t="default"/>
      </items>
    </pivotField>
    <pivotField showAll="0">
      <items count="66">
        <item m="1" x="34"/>
        <item x="0"/>
        <item x="2"/>
        <item m="1" x="22"/>
        <item x="7"/>
        <item m="1" x="56"/>
        <item m="1" x="53"/>
        <item m="1" x="24"/>
        <item m="1" x="57"/>
        <item m="1" x="13"/>
        <item x="3"/>
        <item m="1" x="55"/>
        <item m="1" x="41"/>
        <item m="1" x="46"/>
        <item m="1" x="27"/>
        <item m="1" x="12"/>
        <item m="1" x="29"/>
        <item x="4"/>
        <item m="1" x="47"/>
        <item m="1" x="60"/>
        <item m="1" x="14"/>
        <item m="1" x="37"/>
        <item m="1" x="20"/>
        <item m="1" x="11"/>
        <item m="1" x="23"/>
        <item m="1" x="44"/>
        <item m="1" x="59"/>
        <item m="1" x="17"/>
        <item m="1" x="52"/>
        <item m="1" x="25"/>
        <item m="1" x="35"/>
        <item m="1" x="26"/>
        <item m="1" x="36"/>
        <item m="1" x="10"/>
        <item m="1" x="42"/>
        <item x="1"/>
        <item m="1" x="64"/>
        <item m="1" x="28"/>
        <item m="1" x="54"/>
        <item m="1" x="16"/>
        <item m="1" x="18"/>
        <item m="1" x="39"/>
        <item m="1" x="9"/>
        <item m="1" x="49"/>
        <item m="1" x="51"/>
        <item m="1" x="61"/>
        <item x="6"/>
        <item m="1" x="19"/>
        <item m="1" x="40"/>
        <item m="1" x="58"/>
        <item m="1" x="33"/>
        <item m="1" x="63"/>
        <item m="1" x="21"/>
        <item m="1" x="62"/>
        <item x="5"/>
        <item m="1" x="45"/>
        <item m="1" x="30"/>
        <item m="1" x="50"/>
        <item m="1" x="31"/>
        <item m="1" x="38"/>
        <item m="1" x="43"/>
        <item m="1" x="32"/>
        <item m="1" x="15"/>
        <item m="1" x="48"/>
        <item x="8"/>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6" hier="-1"/>
    <pageField fld="1" hier="-1"/>
  </pageFields>
  <dataFields count="3">
    <dataField name="Baseline Cost" fld="31" baseField="0" baseItem="0" numFmtId="164"/>
    <dataField name="Estimated Cost" fld="32" baseField="0" baseItem="0" numFmtId="164"/>
    <dataField name="Actual Cost" fld="33" baseField="0" baseItem="0" numFmtId="164"/>
  </dataFields>
  <chartFormats count="11">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 chart="227" format="11" series="1">
      <pivotArea type="data" outline="0" fieldPosition="0">
        <references count="1">
          <reference field="4294967294" count="1" selected="0">
            <x v="0"/>
          </reference>
        </references>
      </pivotArea>
    </chartFormat>
    <chartFormat chart="227" format="12">
      <pivotArea type="data" outline="0" fieldPosition="0">
        <references count="1">
          <reference field="4294967294" count="1" selected="0">
            <x v="0"/>
          </reference>
        </references>
      </pivotArea>
    </chartFormat>
    <chartFormat chart="227" format="13">
      <pivotArea type="data" outline="0" fieldPosition="0">
        <references count="1">
          <reference field="4294967294" count="1" selected="0">
            <x v="1"/>
          </reference>
        </references>
      </pivotArea>
    </chartFormat>
    <chartFormat chart="227" format="14">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1F16084-B707-4DA0-813B-5A9D6BD396AD}" name="PT7" cacheId="0"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58">
    <pivotField showAll="0"/>
    <pivotField axis="axisPage" showAll="0">
      <items count="8">
        <item x="2"/>
        <item h="1" x="0"/>
        <item h="1" x="1"/>
        <item x="4"/>
        <item h="1" m="1" x="6"/>
        <item h="1" m="1" x="5"/>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m="1" x="3"/>
        <item x="1"/>
        <item x="2"/>
        <item m="1" x="4"/>
        <item t="default"/>
      </items>
    </pivotField>
    <pivotField showAll="0">
      <items count="66">
        <item m="1" x="34"/>
        <item x="0"/>
        <item x="2"/>
        <item m="1" x="22"/>
        <item x="7"/>
        <item m="1" x="56"/>
        <item m="1" x="53"/>
        <item m="1" x="24"/>
        <item m="1" x="57"/>
        <item m="1" x="13"/>
        <item x="3"/>
        <item m="1" x="55"/>
        <item m="1" x="41"/>
        <item m="1" x="46"/>
        <item m="1" x="27"/>
        <item m="1" x="12"/>
        <item m="1" x="29"/>
        <item x="4"/>
        <item m="1" x="47"/>
        <item m="1" x="60"/>
        <item m="1" x="14"/>
        <item m="1" x="37"/>
        <item m="1" x="20"/>
        <item m="1" x="11"/>
        <item m="1" x="23"/>
        <item m="1" x="44"/>
        <item m="1" x="59"/>
        <item m="1" x="17"/>
        <item m="1" x="52"/>
        <item m="1" x="25"/>
        <item m="1" x="35"/>
        <item m="1" x="26"/>
        <item m="1" x="36"/>
        <item m="1" x="10"/>
        <item m="1" x="42"/>
        <item x="1"/>
        <item m="1" x="64"/>
        <item m="1" x="28"/>
        <item m="1" x="54"/>
        <item m="1" x="16"/>
        <item m="1" x="18"/>
        <item m="1" x="39"/>
        <item m="1" x="9"/>
        <item m="1" x="49"/>
        <item m="1" x="51"/>
        <item m="1" x="61"/>
        <item x="6"/>
        <item m="1" x="19"/>
        <item m="1" x="40"/>
        <item m="1" x="58"/>
        <item m="1" x="33"/>
        <item m="1" x="63"/>
        <item m="1" x="21"/>
        <item m="1" x="62"/>
        <item x="5"/>
        <item m="1" x="45"/>
        <item m="1" x="30"/>
        <item m="1" x="50"/>
        <item m="1" x="31"/>
        <item m="1" x="38"/>
        <item m="1" x="43"/>
        <item m="1" x="32"/>
        <item m="1" x="15"/>
        <item m="1" x="48"/>
        <item x="8"/>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8782934-5B53-4D89-A0DD-1A9F4AC558F5}" name="PT8" cacheId="0"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58">
    <pivotField showAll="0"/>
    <pivotField axis="axisPage" showAll="0">
      <items count="8">
        <item x="2"/>
        <item h="1" x="0"/>
        <item h="1" x="1"/>
        <item x="4"/>
        <item h="1" m="1" x="6"/>
        <item h="1" m="1" x="5"/>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m="1" x="3"/>
        <item x="1"/>
        <item x="2"/>
        <item m="1" x="4"/>
        <item t="default"/>
      </items>
    </pivotField>
    <pivotField showAll="0">
      <items count="66">
        <item m="1" x="34"/>
        <item x="0"/>
        <item x="2"/>
        <item m="1" x="22"/>
        <item x="7"/>
        <item m="1" x="56"/>
        <item m="1" x="53"/>
        <item m="1" x="24"/>
        <item m="1" x="57"/>
        <item m="1" x="13"/>
        <item x="3"/>
        <item m="1" x="55"/>
        <item m="1" x="41"/>
        <item m="1" x="46"/>
        <item m="1" x="27"/>
        <item m="1" x="12"/>
        <item m="1" x="29"/>
        <item x="4"/>
        <item m="1" x="47"/>
        <item m="1" x="60"/>
        <item m="1" x="14"/>
        <item m="1" x="37"/>
        <item m="1" x="20"/>
        <item m="1" x="11"/>
        <item m="1" x="23"/>
        <item m="1" x="44"/>
        <item m="1" x="59"/>
        <item m="1" x="17"/>
        <item m="1" x="52"/>
        <item m="1" x="25"/>
        <item m="1" x="35"/>
        <item m="1" x="26"/>
        <item m="1" x="36"/>
        <item m="1" x="10"/>
        <item m="1" x="42"/>
        <item x="1"/>
        <item m="1" x="64"/>
        <item m="1" x="28"/>
        <item m="1" x="54"/>
        <item m="1" x="16"/>
        <item m="1" x="18"/>
        <item m="1" x="39"/>
        <item m="1" x="9"/>
        <item m="1" x="49"/>
        <item m="1" x="51"/>
        <item m="1" x="61"/>
        <item x="6"/>
        <item m="1" x="19"/>
        <item m="1" x="40"/>
        <item m="1" x="58"/>
        <item m="1" x="33"/>
        <item m="1" x="63"/>
        <item m="1" x="21"/>
        <item m="1" x="62"/>
        <item x="5"/>
        <item m="1" x="45"/>
        <item m="1" x="30"/>
        <item m="1" x="50"/>
        <item m="1" x="31"/>
        <item m="1" x="38"/>
        <item m="1" x="43"/>
        <item m="1" x="32"/>
        <item m="1" x="15"/>
        <item m="1" x="48"/>
        <item x="8"/>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E22DC68E-64B3-4595-9C63-80AE731BFF7F}"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51E5BF81-2047-42A4-B0B9-BDDD127F4E23}"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3" s="1" nd="1"/>
        <i x="2" s="1" nd="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D13F2442-4DF2-4C7A-A4D3-2FE222729B23}"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65">
        <i x="0" s="1"/>
        <i x="2" s="1"/>
        <i x="7" s="1"/>
        <i x="3" s="1"/>
        <i x="4" s="1"/>
        <i x="1" s="1"/>
        <i x="6" s="1"/>
        <i x="5" s="1"/>
        <i x="34" s="1" nd="1"/>
        <i x="22" s="1" nd="1"/>
        <i x="56" s="1" nd="1"/>
        <i x="53" s="1" nd="1"/>
        <i x="24" s="1" nd="1"/>
        <i x="57" s="1" nd="1"/>
        <i x="13" s="1" nd="1"/>
        <i x="55" s="1" nd="1"/>
        <i x="41" s="1" nd="1"/>
        <i x="46" s="1" nd="1"/>
        <i x="27" s="1" nd="1"/>
        <i x="12" s="1" nd="1"/>
        <i x="29" s="1" nd="1"/>
        <i x="47" s="1" nd="1"/>
        <i x="60" s="1" nd="1"/>
        <i x="14" s="1" nd="1"/>
        <i x="37" s="1" nd="1"/>
        <i x="20" s="1" nd="1"/>
        <i x="11" s="1" nd="1"/>
        <i x="23" s="1" nd="1"/>
        <i x="44" s="1" nd="1"/>
        <i x="59" s="1" nd="1"/>
        <i x="17" s="1" nd="1"/>
        <i x="52" s="1" nd="1"/>
        <i x="25" s="1" nd="1"/>
        <i x="35" s="1" nd="1"/>
        <i x="26" s="1" nd="1"/>
        <i x="36" s="1" nd="1"/>
        <i x="10" s="1" nd="1"/>
        <i x="42" s="1" nd="1"/>
        <i x="64" s="1" nd="1"/>
        <i x="28" s="1" nd="1"/>
        <i x="54" s="1" nd="1"/>
        <i x="16" s="1" nd="1"/>
        <i x="18" s="1" nd="1"/>
        <i x="39" s="1" nd="1"/>
        <i x="9" s="1" nd="1"/>
        <i x="49" s="1" nd="1"/>
        <i x="51" s="1" nd="1"/>
        <i x="61" s="1" nd="1"/>
        <i x="19" s="1" nd="1"/>
        <i x="40" s="1" nd="1"/>
        <i x="58" s="1" nd="1"/>
        <i x="33" s="1" nd="1"/>
        <i x="63" s="1" nd="1"/>
        <i x="21" s="1" nd="1"/>
        <i x="62" s="1" nd="1"/>
        <i x="45" s="1" nd="1"/>
        <i x="30" s="1" nd="1"/>
        <i x="50" s="1" nd="1"/>
        <i x="31" s="1" nd="1"/>
        <i x="38" s="1" nd="1"/>
        <i x="43" s="1" nd="1"/>
        <i x="32" s="1" nd="1"/>
        <i x="15" s="1" nd="1"/>
        <i x="48" s="1" nd="1"/>
        <i x="8"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A6783303-6297-4228-BB66-1CCCB44E655F}" cache="Slicer_Priority" caption="Priority" style="SlicerStyleLight2" rowHeight="241300"/>
  <slicer name="Status" xr10:uid="{471C339D-7EF1-4AF3-A2FE-B53B53BFDE56}" cache="Slicer_Status" caption="Status" style="SlicerStyleLight6" rowHeight="241300"/>
  <slicer name="Resource" xr10:uid="{A9E510A2-8B56-43F2-8F04-53CB227446EF}"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986032A-2377-4893-8362-8CBEE94C2BE2}" name="DashboardTable" displayName="DashboardTable" ref="A1:BE97" totalsRowShown="0">
  <autoFilter ref="A1:BE97" xr:uid="{C986032A-2377-4893-8362-8CBEE94C2BE2}"/>
  <tableColumns count="57">
    <tableColumn id="1" xr3:uid="{A35F8A59-5530-44D1-AA6F-30C04F9736BC}" name="ProjectID"/>
    <tableColumn id="2" xr3:uid="{1330EF93-7007-4DAC-A9F4-60DD270D45ED}" name="dType"/>
    <tableColumn id="3" xr3:uid="{C7911254-118E-4BAF-AEC3-C29BA42C9A92}" name="GEType"/>
    <tableColumn id="4" xr3:uid="{B8B42A4A-8F1E-4E38-AB47-ADF8E8C9BBFB}" name="TID"/>
    <tableColumn id="5" xr3:uid="{5DC5A730-D17B-4C04-AB29-7F9C75C3A25A}" name="Dependency"/>
    <tableColumn id="6" xr3:uid="{45458F19-8D66-4756-A870-2D8D3A9F4926}" name="Dependents"/>
    <tableColumn id="7" xr3:uid="{EA0C1518-43E2-4A2C-BF3A-63D94E79D45D}" name="StartConstrain"/>
    <tableColumn id="8" xr3:uid="{CB19B84E-EA0C-4B41-8955-B95D5ABF47A4}" name="EndConstrain"/>
    <tableColumn id="9" xr3:uid="{FD900433-64F9-4328-A6F0-284F1618E6DC}" name="TIL"/>
    <tableColumn id="10" xr3:uid="{404C359E-811E-4AC6-8711-67296B93B6E1}" name="SS"/>
    <tableColumn id="11" xr3:uid="{DA8E3E10-279E-425A-890A-8FC9A1AAA6A1}" name="TaskIcon"/>
    <tableColumn id="12" xr3:uid="{56C80C8E-C223-4490-BF95-D0CBD1CF506C}" name="WBS"/>
    <tableColumn id="13" xr3:uid="{5F2FD4E4-5F40-439D-800D-4481FC68E7BC}" name="Task"/>
    <tableColumn id="14" xr3:uid="{386A1850-2EBE-4BCA-9FCA-94B9D7C61385}" name="Priority"/>
    <tableColumn id="15" xr3:uid="{4DADDE52-2A28-484C-B3FD-BE4DD734328F}" name="Status"/>
    <tableColumn id="16" xr3:uid="{15409201-8F17-4EC6-B8D8-5533F0E3EF4C}" name="Resource"/>
    <tableColumn id="17" xr3:uid="{FC770E8D-2921-4AE4-BD05-0EA61EC44358}" name="ResourceCost"/>
    <tableColumn id="18" xr3:uid="{1A2FE31D-3B4D-45F5-9376-33558894CCFB}" name="BSD"/>
    <tableColumn id="19" xr3:uid="{9E8A27D1-2EA5-4DCF-9E2A-72709CE80105}" name="BED"/>
    <tableColumn id="20" xr3:uid="{9E59CE0D-95E7-4EF3-B19B-6AC4191177E1}" name="BD"/>
    <tableColumn id="21" xr3:uid="{F843E0E0-E3DF-4D3E-834D-12717EDA57A1}" name="ESD" dataDxfId="2"/>
    <tableColumn id="22" xr3:uid="{807EB0D2-46A1-46FE-883B-5478C1EEA87D}" name="EED" dataDxfId="1"/>
    <tableColumn id="23" xr3:uid="{2EE877D2-9C3D-422A-B152-BE46C7108D04}" name="ED"/>
    <tableColumn id="24" xr3:uid="{C54F240D-BBFB-48FF-9857-A0D2DE554F4B}" name="WBSPredecessors"/>
    <tableColumn id="25" xr3:uid="{BB3C017B-487A-45B6-96ED-95512EC6D38C}" name="WBSSuccessors"/>
    <tableColumn id="26" xr3:uid="{63B9524A-B535-4DBD-BB9B-F7EB03E14B27}" name="Work"/>
    <tableColumn id="27" xr3:uid="{EBC0021F-F7D9-43CA-9162-06B1E16CB78A}" name="Done"/>
    <tableColumn id="28" xr3:uid="{ACE134D7-4B91-41AE-9276-020FA7490C44}" name="PercentageCompleted"/>
    <tableColumn id="29" xr3:uid="{8FA33C4B-D9E6-4ACD-80F5-67C958416CAA}" name="ASD"/>
    <tableColumn id="30" xr3:uid="{29B4DD31-7187-4CF5-990E-390E65567DDF}" name="AED"/>
    <tableColumn id="31" xr3:uid="{DBA5F03A-3AE9-409E-8006-ACE3607CE84C}" name="AD"/>
    <tableColumn id="32" xr3:uid="{5FE3B7C8-BDB9-4DEE-A4C0-2C293B256703}" name="BCS"/>
    <tableColumn id="33" xr3:uid="{C82835F9-CFC5-4F7A-9479-E653AB1BE127}" name="ECS"/>
    <tableColumn id="34" xr3:uid="{3A5EB7A6-EA6D-442B-A9AA-DC736F35884A}" name="ACS"/>
    <tableColumn id="35" xr3:uid="{28A02E9A-ED11-4715-A1B8-037A6FD03F21}" name="Notes"/>
    <tableColumn id="36" xr3:uid="{67087EAA-3B71-4FF1-92C5-8B54C09E6FC0}" name="Custom 1"/>
    <tableColumn id="37" xr3:uid="{42DBF066-E212-4013-93B1-CEE0F4ACD152}" name="Custom 2"/>
    <tableColumn id="38" xr3:uid="{09F9CFBA-D5F3-4ABF-891C-9D7AB0457637}" name="Custom 3"/>
    <tableColumn id="39" xr3:uid="{8246D4BF-CCA9-4466-A1BD-00FAB5800108}" name="Custom 4"/>
    <tableColumn id="40" xr3:uid="{24EED173-7700-4305-A3F7-692D744FDDE2}" name="Custom 5"/>
    <tableColumn id="41" xr3:uid="{9A176663-2B44-42BF-8345-6AEE6FC11DB0}" name="Custom 6"/>
    <tableColumn id="42" xr3:uid="{E6C20C97-6DBD-439A-AC83-D17D0E21EA82}" name="Custom 7"/>
    <tableColumn id="43" xr3:uid="{9824B077-83BA-40BF-A350-966B6BAB6E2B}" name="Custom 8"/>
    <tableColumn id="44" xr3:uid="{A72B231A-0B2C-4F99-A56F-6E471F677760}" name="Custom 9"/>
    <tableColumn id="45" xr3:uid="{4629EFEE-DE58-4B9A-AA96-AB9296560476}" name="Custom 10"/>
    <tableColumn id="46" xr3:uid="{061DBBBF-5559-47BD-BEFB-9954465DA569}" name="Custom 11"/>
    <tableColumn id="47" xr3:uid="{7C9B154C-EFB1-4A44-9F36-22F16CB572B2}" name="Custom 12"/>
    <tableColumn id="48" xr3:uid="{9C3F8783-F4D2-4354-A4F7-8523F873E80D}" name="Custom 13"/>
    <tableColumn id="49" xr3:uid="{7A7AA478-F6AA-43CE-9582-7BEFB966F7A3}" name="Custom 14"/>
    <tableColumn id="50" xr3:uid="{02CD69F6-B39B-4A65-9CE9-CC7721664D2F}" name="Custom 15"/>
    <tableColumn id="51" xr3:uid="{83DAF4F5-DC6F-46FA-9AEA-DF1530B13690}" name="Custom 16"/>
    <tableColumn id="52" xr3:uid="{36BCBBBF-06CB-4011-966E-3CFE07BEC47D}" name="Custom 17"/>
    <tableColumn id="53" xr3:uid="{99BF8CC4-9CC4-4A79-B4DF-B1034157A16C}" name="Custom 18"/>
    <tableColumn id="54" xr3:uid="{7A445E78-94FD-481D-ACD6-8C2B74B23415}" name="Custom 19"/>
    <tableColumn id="55" xr3:uid="{C44C2F75-2CF3-458E-8F7B-DF0A2C67C156}" name="Custom 20"/>
    <tableColumn id="56" xr3:uid="{119FDA66-18F9-42B6-A349-8971E66639C3}" name="LC"/>
    <tableColumn id="57" xr3:uid="{CF57346F-588D-4BCA-8C21-78CA6ADACEE7}"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972CEF61-3E54-4B53-AFAB-090EB05ABDAF}"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3F2135B1-35D8-42F7-8FCE-7D6D0EEE0946}" cache="NativeTimeline_EED" caption="Task Due Date" level="2" selectionLevel="2" scrollPosition="2025-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pcDoc&amp;utm_medium=529241978686978692682397191994864013771059744140" TargetMode="External"/><Relationship Id="rId2" Type="http://schemas.openxmlformats.org/officeDocument/2006/relationships/hyperlink" Target="https://www.ganttexcel.com/how-to-create-a-gantt-chart-in-excel/?utm_source=XLCpcQSG&amp;utm_medium=529241978686978692682397191994864013771059744140" TargetMode="External"/><Relationship Id="rId1" Type="http://schemas.openxmlformats.org/officeDocument/2006/relationships/hyperlink" Target="https://www.ganttexcel.com/documentation/enable-macros/?utm_source=XLCpcEnableMacros&amp;utm_medium=529241978686978692682397191994864013771059744140" TargetMode="External"/><Relationship Id="rId5" Type="http://schemas.openxmlformats.org/officeDocument/2006/relationships/drawing" Target="../drawings/drawing6.xml"/><Relationship Id="rId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89FD0-4E53-4037-9948-377004931DE0}">
  <sheetPr codeName="GDD"/>
  <dimension ref="A1:BE97"/>
  <sheetViews>
    <sheetView workbookViewId="0">
      <selection activeCell="E66" sqref="E66"/>
    </sheetView>
  </sheetViews>
  <sheetFormatPr defaultRowHeight="13.8" x14ac:dyDescent="0.25"/>
  <cols>
    <col min="1" max="4" width="12.69921875" customWidth="1"/>
    <col min="5" max="5" width="15" customWidth="1"/>
    <col min="6" max="6" width="14.69921875" customWidth="1"/>
    <col min="7" max="7" width="16.3984375" customWidth="1"/>
    <col min="8" max="8" width="15.59765625" customWidth="1"/>
    <col min="9" max="16" width="12.69921875" customWidth="1"/>
    <col min="17" max="17" width="15.296875" customWidth="1"/>
    <col min="18" max="23" width="12.69921875" customWidth="1"/>
    <col min="24" max="24" width="19" customWidth="1"/>
    <col min="25" max="26" width="23" customWidth="1"/>
    <col min="27" max="27" width="12.69921875" customWidth="1"/>
    <col min="28" max="28" width="23" customWidth="1"/>
    <col min="29" max="49" width="12.69921875" customWidth="1"/>
    <col min="50" max="55" width="12.296875" customWidth="1"/>
    <col min="56" max="56" width="13.09765625" customWidth="1"/>
    <col min="57" max="57" width="13.296875" customWidth="1"/>
    <col min="58" max="58" width="13.3984375" customWidth="1"/>
    <col min="59" max="59" width="13.09765625" customWidth="1"/>
    <col min="60" max="60" width="13.296875" customWidth="1"/>
    <col min="61" max="62" width="13.3984375" customWidth="1"/>
  </cols>
  <sheetData>
    <row r="1" spans="1:57" x14ac:dyDescent="0.25">
      <c r="A1" t="s">
        <v>161</v>
      </c>
      <c r="B1" t="s">
        <v>162</v>
      </c>
      <c r="C1" t="s">
        <v>225</v>
      </c>
      <c r="D1" t="s">
        <v>217</v>
      </c>
      <c r="E1" t="s">
        <v>218</v>
      </c>
      <c r="F1" t="s">
        <v>219</v>
      </c>
      <c r="G1" t="s">
        <v>220</v>
      </c>
      <c r="H1" t="s">
        <v>221</v>
      </c>
      <c r="I1" t="s">
        <v>155</v>
      </c>
      <c r="J1" t="s">
        <v>156</v>
      </c>
      <c r="K1" t="s">
        <v>222</v>
      </c>
      <c r="L1" t="s">
        <v>27</v>
      </c>
      <c r="M1" t="s">
        <v>26</v>
      </c>
      <c r="N1" t="s">
        <v>133</v>
      </c>
      <c r="O1" t="s">
        <v>134</v>
      </c>
      <c r="P1" t="s">
        <v>216</v>
      </c>
      <c r="Q1" t="s">
        <v>223</v>
      </c>
      <c r="R1" t="s">
        <v>25</v>
      </c>
      <c r="S1" t="s">
        <v>24</v>
      </c>
      <c r="T1" t="s">
        <v>23</v>
      </c>
      <c r="U1" t="s">
        <v>22</v>
      </c>
      <c r="V1" t="s">
        <v>20</v>
      </c>
      <c r="W1" t="s">
        <v>18</v>
      </c>
      <c r="X1" t="s">
        <v>230</v>
      </c>
      <c r="Y1" t="s">
        <v>231</v>
      </c>
      <c r="Z1" t="s">
        <v>214</v>
      </c>
      <c r="AA1" t="s">
        <v>224</v>
      </c>
      <c r="AB1" t="s">
        <v>17</v>
      </c>
      <c r="AC1" t="s">
        <v>21</v>
      </c>
      <c r="AD1" t="s">
        <v>19</v>
      </c>
      <c r="AE1" t="s">
        <v>16</v>
      </c>
      <c r="AF1" t="s">
        <v>15</v>
      </c>
      <c r="AG1" t="s">
        <v>14</v>
      </c>
      <c r="AH1" t="s">
        <v>13</v>
      </c>
      <c r="AI1" t="s">
        <v>12</v>
      </c>
      <c r="AJ1" t="s">
        <v>163</v>
      </c>
      <c r="AK1" t="s">
        <v>164</v>
      </c>
      <c r="AL1" t="s">
        <v>165</v>
      </c>
      <c r="AM1" t="s">
        <v>166</v>
      </c>
      <c r="AN1" t="s">
        <v>167</v>
      </c>
      <c r="AO1" t="s">
        <v>168</v>
      </c>
      <c r="AP1" t="s">
        <v>169</v>
      </c>
      <c r="AQ1" t="s">
        <v>170</v>
      </c>
      <c r="AR1" t="s">
        <v>171</v>
      </c>
      <c r="AS1" t="s">
        <v>172</v>
      </c>
      <c r="AT1" t="s">
        <v>173</v>
      </c>
      <c r="AU1" t="s">
        <v>174</v>
      </c>
      <c r="AV1" t="s">
        <v>175</v>
      </c>
      <c r="AW1" t="s">
        <v>176</v>
      </c>
      <c r="AX1" t="s">
        <v>177</v>
      </c>
      <c r="AY1" t="s">
        <v>178</v>
      </c>
      <c r="AZ1" t="s">
        <v>179</v>
      </c>
      <c r="BA1" t="s">
        <v>180</v>
      </c>
      <c r="BB1" t="s">
        <v>181</v>
      </c>
      <c r="BC1" t="s">
        <v>182</v>
      </c>
      <c r="BD1" t="s">
        <v>157</v>
      </c>
      <c r="BE1" t="s">
        <v>206</v>
      </c>
    </row>
    <row r="2" spans="1:57" x14ac:dyDescent="0.25">
      <c r="A2">
        <v>1</v>
      </c>
      <c r="B2" t="s">
        <v>236</v>
      </c>
      <c r="C2" t="s">
        <v>158</v>
      </c>
      <c r="D2">
        <v>1</v>
      </c>
      <c r="I2">
        <v>0</v>
      </c>
      <c r="K2" t="s">
        <v>160</v>
      </c>
      <c r="L2">
        <v>1</v>
      </c>
      <c r="M2" t="s">
        <v>257</v>
      </c>
      <c r="N2" t="s">
        <v>159</v>
      </c>
      <c r="O2" t="s">
        <v>56</v>
      </c>
      <c r="P2" t="s">
        <v>251</v>
      </c>
      <c r="U2" s="22">
        <v>45705</v>
      </c>
      <c r="V2" s="22">
        <v>45711</v>
      </c>
      <c r="W2">
        <v>5</v>
      </c>
      <c r="AA2">
        <v>100</v>
      </c>
      <c r="AB2">
        <v>1</v>
      </c>
      <c r="AF2">
        <v>300000</v>
      </c>
      <c r="AG2">
        <v>2700</v>
      </c>
      <c r="AH2">
        <v>128600</v>
      </c>
      <c r="BE2" t="e">
        <f>DashboardTable[[#This Row],[ProjectID]]=#REF!</f>
        <v>#REF!</v>
      </c>
    </row>
    <row r="3" spans="1:57" x14ac:dyDescent="0.25">
      <c r="A3">
        <v>1</v>
      </c>
      <c r="B3" t="s">
        <v>238</v>
      </c>
      <c r="C3" t="s">
        <v>158</v>
      </c>
      <c r="D3">
        <v>2</v>
      </c>
      <c r="I3">
        <v>1</v>
      </c>
      <c r="K3" t="s">
        <v>160</v>
      </c>
      <c r="L3">
        <v>1.1000000000000001</v>
      </c>
      <c r="M3" t="s">
        <v>258</v>
      </c>
      <c r="N3" t="s">
        <v>159</v>
      </c>
      <c r="O3" t="s">
        <v>56</v>
      </c>
      <c r="P3" t="s">
        <v>251</v>
      </c>
      <c r="U3" s="22">
        <v>45705</v>
      </c>
      <c r="V3" s="22">
        <v>45709</v>
      </c>
      <c r="W3">
        <v>4</v>
      </c>
      <c r="AA3">
        <v>100</v>
      </c>
      <c r="AB3">
        <v>1</v>
      </c>
      <c r="AG3">
        <v>2700</v>
      </c>
      <c r="BE3" t="e">
        <f>DashboardTable[[#This Row],[ProjectID]]=#REF!</f>
        <v>#REF!</v>
      </c>
    </row>
    <row r="4" spans="1:57" x14ac:dyDescent="0.25">
      <c r="A4">
        <v>1</v>
      </c>
      <c r="B4" t="s">
        <v>237</v>
      </c>
      <c r="C4" t="s">
        <v>158</v>
      </c>
      <c r="D4">
        <v>4</v>
      </c>
      <c r="F4" t="s">
        <v>260</v>
      </c>
      <c r="I4">
        <v>2</v>
      </c>
      <c r="K4" t="s">
        <v>160</v>
      </c>
      <c r="L4" t="s">
        <v>261</v>
      </c>
      <c r="M4" t="s">
        <v>262</v>
      </c>
      <c r="N4" t="s">
        <v>159</v>
      </c>
      <c r="O4" t="s">
        <v>56</v>
      </c>
      <c r="P4" t="s">
        <v>278</v>
      </c>
      <c r="U4" s="22">
        <v>45705</v>
      </c>
      <c r="V4" s="22">
        <v>45709</v>
      </c>
      <c r="W4">
        <v>4</v>
      </c>
      <c r="AA4">
        <v>100</v>
      </c>
      <c r="AB4">
        <v>1</v>
      </c>
      <c r="AG4">
        <v>2700</v>
      </c>
      <c r="BE4" t="e">
        <f>DashboardTable[[#This Row],[ProjectID]]=#REF!</f>
        <v>#REF!</v>
      </c>
    </row>
    <row r="5" spans="1:57" x14ac:dyDescent="0.25">
      <c r="A5">
        <v>1</v>
      </c>
      <c r="B5" t="s">
        <v>237</v>
      </c>
      <c r="C5" t="s">
        <v>158</v>
      </c>
      <c r="D5">
        <v>3</v>
      </c>
      <c r="E5" t="s">
        <v>263</v>
      </c>
      <c r="F5" t="s">
        <v>280</v>
      </c>
      <c r="G5">
        <v>45710</v>
      </c>
      <c r="I5">
        <v>1</v>
      </c>
      <c r="K5" t="s">
        <v>160</v>
      </c>
      <c r="L5">
        <v>1.2</v>
      </c>
      <c r="M5" t="s">
        <v>264</v>
      </c>
      <c r="N5" t="s">
        <v>159</v>
      </c>
      <c r="O5" t="s">
        <v>56</v>
      </c>
      <c r="P5" t="s">
        <v>251</v>
      </c>
      <c r="U5" s="22">
        <v>45710</v>
      </c>
      <c r="V5" s="22">
        <v>45710</v>
      </c>
      <c r="W5">
        <v>1</v>
      </c>
      <c r="AA5">
        <v>100</v>
      </c>
      <c r="AB5">
        <v>1</v>
      </c>
      <c r="BE5" t="e">
        <f>DashboardTable[[#This Row],[ProjectID]]=#REF!</f>
        <v>#REF!</v>
      </c>
    </row>
    <row r="6" spans="1:57" x14ac:dyDescent="0.25">
      <c r="A6">
        <v>1</v>
      </c>
      <c r="B6" t="s">
        <v>235</v>
      </c>
      <c r="C6" t="s">
        <v>235</v>
      </c>
      <c r="D6">
        <v>6</v>
      </c>
      <c r="E6" t="s">
        <v>281</v>
      </c>
      <c r="F6" t="s">
        <v>282</v>
      </c>
      <c r="G6">
        <v>45711</v>
      </c>
      <c r="I6">
        <v>1</v>
      </c>
      <c r="K6" t="s">
        <v>160</v>
      </c>
      <c r="L6">
        <v>1.3</v>
      </c>
      <c r="M6" t="s">
        <v>265</v>
      </c>
      <c r="N6" t="s">
        <v>266</v>
      </c>
      <c r="O6" t="s">
        <v>56</v>
      </c>
      <c r="P6" t="s">
        <v>251</v>
      </c>
      <c r="U6" s="22">
        <v>45711</v>
      </c>
      <c r="V6" s="22">
        <v>45711</v>
      </c>
      <c r="W6">
        <v>0</v>
      </c>
      <c r="AA6">
        <v>100</v>
      </c>
      <c r="AB6">
        <v>1</v>
      </c>
      <c r="AF6">
        <v>300000</v>
      </c>
      <c r="AH6">
        <v>128600</v>
      </c>
      <c r="BE6" t="e">
        <f>DashboardTable[[#This Row],[ProjectID]]=#REF!</f>
        <v>#REF!</v>
      </c>
    </row>
    <row r="7" spans="1:57" x14ac:dyDescent="0.25">
      <c r="A7">
        <v>1</v>
      </c>
      <c r="B7" t="s">
        <v>236</v>
      </c>
      <c r="C7" t="s">
        <v>158</v>
      </c>
      <c r="D7">
        <v>7</v>
      </c>
      <c r="I7">
        <v>0</v>
      </c>
      <c r="K7" t="s">
        <v>160</v>
      </c>
      <c r="L7">
        <v>2</v>
      </c>
      <c r="M7" t="s">
        <v>267</v>
      </c>
      <c r="N7" t="s">
        <v>159</v>
      </c>
      <c r="O7" t="s">
        <v>59</v>
      </c>
      <c r="P7" t="s">
        <v>251</v>
      </c>
      <c r="U7" s="22">
        <v>45712</v>
      </c>
      <c r="V7" s="22">
        <v>45725</v>
      </c>
      <c r="W7">
        <v>21</v>
      </c>
      <c r="AA7">
        <v>0</v>
      </c>
      <c r="AB7">
        <v>0.66666666666666652</v>
      </c>
      <c r="AF7">
        <v>25000</v>
      </c>
      <c r="AG7">
        <v>201800</v>
      </c>
      <c r="AH7">
        <v>42500</v>
      </c>
      <c r="BE7" t="e">
        <f>DashboardTable[[#This Row],[ProjectID]]=#REF!</f>
        <v>#REF!</v>
      </c>
    </row>
    <row r="8" spans="1:57" x14ac:dyDescent="0.25">
      <c r="A8">
        <v>1</v>
      </c>
      <c r="B8" t="s">
        <v>238</v>
      </c>
      <c r="C8" t="s">
        <v>158</v>
      </c>
      <c r="D8">
        <v>8</v>
      </c>
      <c r="I8">
        <v>1</v>
      </c>
      <c r="K8" t="s">
        <v>160</v>
      </c>
      <c r="L8">
        <v>2.1</v>
      </c>
      <c r="M8" t="s">
        <v>268</v>
      </c>
      <c r="N8" t="s">
        <v>159</v>
      </c>
      <c r="O8" t="s">
        <v>56</v>
      </c>
      <c r="P8" t="s">
        <v>252</v>
      </c>
      <c r="U8" s="22">
        <v>45712</v>
      </c>
      <c r="V8" s="22">
        <v>45717</v>
      </c>
      <c r="W8">
        <v>12</v>
      </c>
      <c r="AA8">
        <v>100</v>
      </c>
      <c r="AB8">
        <v>1</v>
      </c>
      <c r="AF8">
        <v>25000</v>
      </c>
      <c r="AG8">
        <v>73800</v>
      </c>
      <c r="AH8">
        <v>42500</v>
      </c>
      <c r="BE8" t="e">
        <f>DashboardTable[[#This Row],[ProjectID]]=#REF!</f>
        <v>#REF!</v>
      </c>
    </row>
    <row r="9" spans="1:57" x14ac:dyDescent="0.25">
      <c r="A9">
        <v>1</v>
      </c>
      <c r="B9" t="s">
        <v>237</v>
      </c>
      <c r="C9" t="s">
        <v>158</v>
      </c>
      <c r="D9">
        <v>9</v>
      </c>
      <c r="E9" t="s">
        <v>283</v>
      </c>
      <c r="F9" t="s">
        <v>284</v>
      </c>
      <c r="G9">
        <v>45712</v>
      </c>
      <c r="I9">
        <v>2</v>
      </c>
      <c r="K9" t="s">
        <v>160</v>
      </c>
      <c r="L9" t="s">
        <v>247</v>
      </c>
      <c r="M9" t="s">
        <v>285</v>
      </c>
      <c r="N9" t="s">
        <v>159</v>
      </c>
      <c r="O9" t="s">
        <v>56</v>
      </c>
      <c r="P9" t="s">
        <v>252</v>
      </c>
      <c r="U9" s="22">
        <v>45712</v>
      </c>
      <c r="V9" s="22">
        <v>45715</v>
      </c>
      <c r="W9">
        <v>4</v>
      </c>
      <c r="AA9">
        <v>100</v>
      </c>
      <c r="AB9">
        <v>1</v>
      </c>
      <c r="AF9">
        <v>25000</v>
      </c>
      <c r="AG9">
        <v>35000</v>
      </c>
      <c r="AH9">
        <v>42500</v>
      </c>
      <c r="BE9" t="e">
        <f>DashboardTable[[#This Row],[ProjectID]]=#REF!</f>
        <v>#REF!</v>
      </c>
    </row>
    <row r="10" spans="1:57" x14ac:dyDescent="0.25">
      <c r="A10">
        <v>1</v>
      </c>
      <c r="B10" t="s">
        <v>237</v>
      </c>
      <c r="C10" t="s">
        <v>158</v>
      </c>
      <c r="D10">
        <v>10</v>
      </c>
      <c r="E10" t="s">
        <v>286</v>
      </c>
      <c r="F10" t="s">
        <v>287</v>
      </c>
      <c r="G10">
        <v>45714</v>
      </c>
      <c r="I10">
        <v>2</v>
      </c>
      <c r="K10" t="s">
        <v>160</v>
      </c>
      <c r="L10" t="s">
        <v>288</v>
      </c>
      <c r="M10" t="s">
        <v>289</v>
      </c>
      <c r="N10" t="s">
        <v>159</v>
      </c>
      <c r="O10" t="s">
        <v>56</v>
      </c>
      <c r="P10" t="s">
        <v>253</v>
      </c>
      <c r="U10" s="22">
        <v>45714</v>
      </c>
      <c r="V10" s="22">
        <v>45717</v>
      </c>
      <c r="W10">
        <v>4</v>
      </c>
      <c r="AA10">
        <v>100</v>
      </c>
      <c r="AB10">
        <v>1</v>
      </c>
      <c r="AG10">
        <v>35000</v>
      </c>
      <c r="BE10" t="e">
        <f>DashboardTable[[#This Row],[ProjectID]]=#REF!</f>
        <v>#REF!</v>
      </c>
    </row>
    <row r="11" spans="1:57" x14ac:dyDescent="0.25">
      <c r="A11">
        <v>1</v>
      </c>
      <c r="B11" t="s">
        <v>237</v>
      </c>
      <c r="C11" t="s">
        <v>158</v>
      </c>
      <c r="D11">
        <v>11</v>
      </c>
      <c r="E11" t="s">
        <v>290</v>
      </c>
      <c r="F11" t="s">
        <v>291</v>
      </c>
      <c r="G11">
        <v>45714</v>
      </c>
      <c r="I11">
        <v>2</v>
      </c>
      <c r="K11" t="s">
        <v>160</v>
      </c>
      <c r="L11" t="s">
        <v>292</v>
      </c>
      <c r="M11" t="s">
        <v>269</v>
      </c>
      <c r="N11" t="s">
        <v>159</v>
      </c>
      <c r="O11" t="s">
        <v>56</v>
      </c>
      <c r="P11" t="s">
        <v>253</v>
      </c>
      <c r="U11" s="22">
        <v>45714</v>
      </c>
      <c r="V11" s="22">
        <v>45717</v>
      </c>
      <c r="W11">
        <v>4</v>
      </c>
      <c r="AA11">
        <v>100</v>
      </c>
      <c r="AB11">
        <v>1</v>
      </c>
      <c r="AG11">
        <v>3800</v>
      </c>
      <c r="BE11" t="e">
        <f>DashboardTable[[#This Row],[ProjectID]]=#REF!</f>
        <v>#REF!</v>
      </c>
    </row>
    <row r="12" spans="1:57" x14ac:dyDescent="0.25">
      <c r="A12">
        <v>1</v>
      </c>
      <c r="B12" t="s">
        <v>238</v>
      </c>
      <c r="C12" t="s">
        <v>158</v>
      </c>
      <c r="D12">
        <v>12</v>
      </c>
      <c r="I12">
        <v>1</v>
      </c>
      <c r="K12" t="s">
        <v>160</v>
      </c>
      <c r="L12">
        <v>2.2000000000000002</v>
      </c>
      <c r="M12" t="s">
        <v>293</v>
      </c>
      <c r="N12" t="s">
        <v>159</v>
      </c>
      <c r="O12" t="s">
        <v>59</v>
      </c>
      <c r="P12" t="s">
        <v>254</v>
      </c>
      <c r="U12" s="22">
        <v>45718</v>
      </c>
      <c r="V12" s="22">
        <v>45725</v>
      </c>
      <c r="W12">
        <v>9</v>
      </c>
      <c r="AA12">
        <v>0</v>
      </c>
      <c r="AB12">
        <v>0.33333333333333331</v>
      </c>
      <c r="AG12">
        <v>128000</v>
      </c>
      <c r="BE12" t="e">
        <f>DashboardTable[[#This Row],[ProjectID]]=#REF!</f>
        <v>#REF!</v>
      </c>
    </row>
    <row r="13" spans="1:57" x14ac:dyDescent="0.25">
      <c r="A13">
        <v>1</v>
      </c>
      <c r="B13" t="s">
        <v>237</v>
      </c>
      <c r="C13" t="s">
        <v>158</v>
      </c>
      <c r="D13">
        <v>13</v>
      </c>
      <c r="E13" t="s">
        <v>294</v>
      </c>
      <c r="F13" t="s">
        <v>295</v>
      </c>
      <c r="G13">
        <v>45718</v>
      </c>
      <c r="I13">
        <v>2</v>
      </c>
      <c r="K13" t="s">
        <v>160</v>
      </c>
      <c r="L13" t="s">
        <v>296</v>
      </c>
      <c r="M13" t="s">
        <v>297</v>
      </c>
      <c r="N13" t="s">
        <v>266</v>
      </c>
      <c r="O13" t="s">
        <v>59</v>
      </c>
      <c r="P13" t="s">
        <v>254</v>
      </c>
      <c r="U13" s="22">
        <v>45718</v>
      </c>
      <c r="V13" s="22">
        <v>45722</v>
      </c>
      <c r="W13">
        <v>4</v>
      </c>
      <c r="AA13">
        <v>0</v>
      </c>
      <c r="AB13">
        <v>0.5</v>
      </c>
      <c r="AG13">
        <v>65000</v>
      </c>
      <c r="BE13" t="e">
        <f>DashboardTable[[#This Row],[ProjectID]]=#REF!</f>
        <v>#REF!</v>
      </c>
    </row>
    <row r="14" spans="1:57" x14ac:dyDescent="0.25">
      <c r="A14">
        <v>1</v>
      </c>
      <c r="B14" t="s">
        <v>237</v>
      </c>
      <c r="C14" t="s">
        <v>158</v>
      </c>
      <c r="D14">
        <v>19</v>
      </c>
      <c r="E14" t="s">
        <v>298</v>
      </c>
      <c r="G14">
        <v>45723</v>
      </c>
      <c r="I14">
        <v>2</v>
      </c>
      <c r="K14" t="s">
        <v>160</v>
      </c>
      <c r="L14" t="s">
        <v>299</v>
      </c>
      <c r="M14" t="s">
        <v>300</v>
      </c>
      <c r="N14" t="s">
        <v>159</v>
      </c>
      <c r="O14" t="s">
        <v>59</v>
      </c>
      <c r="P14" t="s">
        <v>254</v>
      </c>
      <c r="U14" s="22">
        <v>45723</v>
      </c>
      <c r="V14" s="22">
        <v>45724</v>
      </c>
      <c r="W14">
        <v>2</v>
      </c>
      <c r="AA14">
        <v>0</v>
      </c>
      <c r="AB14">
        <v>0.25</v>
      </c>
      <c r="AG14">
        <v>47000</v>
      </c>
      <c r="BE14" t="e">
        <f>DashboardTable[[#This Row],[ProjectID]]=#REF!</f>
        <v>#REF!</v>
      </c>
    </row>
    <row r="15" spans="1:57" x14ac:dyDescent="0.25">
      <c r="A15">
        <v>1</v>
      </c>
      <c r="B15" t="s">
        <v>237</v>
      </c>
      <c r="C15" t="s">
        <v>158</v>
      </c>
      <c r="D15">
        <v>14</v>
      </c>
      <c r="E15" t="s">
        <v>298</v>
      </c>
      <c r="F15" t="s">
        <v>301</v>
      </c>
      <c r="G15">
        <v>45723</v>
      </c>
      <c r="I15">
        <v>2</v>
      </c>
      <c r="K15" t="s">
        <v>160</v>
      </c>
      <c r="L15" t="s">
        <v>302</v>
      </c>
      <c r="M15" t="s">
        <v>303</v>
      </c>
      <c r="N15" t="s">
        <v>159</v>
      </c>
      <c r="O15" t="s">
        <v>59</v>
      </c>
      <c r="P15" t="s">
        <v>256</v>
      </c>
      <c r="U15" s="22">
        <v>45723</v>
      </c>
      <c r="V15" s="22">
        <v>45725</v>
      </c>
      <c r="W15">
        <v>3</v>
      </c>
      <c r="AA15">
        <v>0</v>
      </c>
      <c r="AB15">
        <v>0.25</v>
      </c>
      <c r="AG15">
        <v>16000</v>
      </c>
      <c r="BE15" t="e">
        <f>DashboardTable[[#This Row],[ProjectID]]=#REF!</f>
        <v>#REF!</v>
      </c>
    </row>
    <row r="16" spans="1:57" x14ac:dyDescent="0.25">
      <c r="A16">
        <v>1</v>
      </c>
      <c r="B16" t="s">
        <v>236</v>
      </c>
      <c r="C16" t="s">
        <v>158</v>
      </c>
      <c r="D16">
        <v>15</v>
      </c>
      <c r="I16">
        <v>0</v>
      </c>
      <c r="K16" t="s">
        <v>160</v>
      </c>
      <c r="L16">
        <v>3</v>
      </c>
      <c r="M16" t="s">
        <v>270</v>
      </c>
      <c r="N16" t="s">
        <v>159</v>
      </c>
      <c r="O16" t="s">
        <v>59</v>
      </c>
      <c r="P16" t="s">
        <v>256</v>
      </c>
      <c r="U16" s="22">
        <v>45726</v>
      </c>
      <c r="V16" s="22">
        <v>45728</v>
      </c>
      <c r="W16">
        <v>6</v>
      </c>
      <c r="AA16">
        <v>0</v>
      </c>
      <c r="AB16">
        <v>0</v>
      </c>
      <c r="AG16">
        <v>93500</v>
      </c>
      <c r="BE16" t="e">
        <f>DashboardTable[[#This Row],[ProjectID]]=#REF!</f>
        <v>#REF!</v>
      </c>
    </row>
    <row r="17" spans="1:57" x14ac:dyDescent="0.25">
      <c r="A17">
        <v>1</v>
      </c>
      <c r="B17" t="s">
        <v>237</v>
      </c>
      <c r="C17" t="s">
        <v>158</v>
      </c>
      <c r="D17">
        <v>16</v>
      </c>
      <c r="E17" t="s">
        <v>304</v>
      </c>
      <c r="F17" t="s">
        <v>305</v>
      </c>
      <c r="G17">
        <v>45726</v>
      </c>
      <c r="I17">
        <v>1</v>
      </c>
      <c r="K17" t="s">
        <v>160</v>
      </c>
      <c r="L17">
        <v>3.1</v>
      </c>
      <c r="M17" t="s">
        <v>271</v>
      </c>
      <c r="N17" t="s">
        <v>159</v>
      </c>
      <c r="O17" t="s">
        <v>59</v>
      </c>
      <c r="P17" t="s">
        <v>254</v>
      </c>
      <c r="U17" s="22">
        <v>45726</v>
      </c>
      <c r="V17" s="22">
        <v>45728</v>
      </c>
      <c r="W17">
        <v>3</v>
      </c>
      <c r="AA17">
        <v>0</v>
      </c>
      <c r="AB17">
        <v>0</v>
      </c>
      <c r="AG17">
        <v>13500</v>
      </c>
      <c r="BE17" t="e">
        <f>DashboardTable[[#This Row],[ProjectID]]=#REF!</f>
        <v>#REF!</v>
      </c>
    </row>
    <row r="18" spans="1:57" x14ac:dyDescent="0.25">
      <c r="A18">
        <v>1</v>
      </c>
      <c r="B18" t="s">
        <v>237</v>
      </c>
      <c r="C18" t="s">
        <v>158</v>
      </c>
      <c r="D18">
        <v>17</v>
      </c>
      <c r="E18" t="s">
        <v>306</v>
      </c>
      <c r="F18" t="s">
        <v>307</v>
      </c>
      <c r="G18">
        <v>45726</v>
      </c>
      <c r="I18">
        <v>1</v>
      </c>
      <c r="K18" t="s">
        <v>160</v>
      </c>
      <c r="L18">
        <v>3.2</v>
      </c>
      <c r="M18" t="s">
        <v>272</v>
      </c>
      <c r="N18" t="s">
        <v>259</v>
      </c>
      <c r="O18" t="s">
        <v>59</v>
      </c>
      <c r="P18" t="s">
        <v>255</v>
      </c>
      <c r="U18" s="22">
        <v>45726</v>
      </c>
      <c r="V18" s="22">
        <v>45728</v>
      </c>
      <c r="W18">
        <v>3</v>
      </c>
      <c r="AA18">
        <v>0</v>
      </c>
      <c r="AB18">
        <v>0</v>
      </c>
      <c r="AG18">
        <v>80000</v>
      </c>
      <c r="BE18" t="e">
        <f>DashboardTable[[#This Row],[ProjectID]]=#REF!</f>
        <v>#REF!</v>
      </c>
    </row>
    <row r="19" spans="1:57" x14ac:dyDescent="0.25">
      <c r="A19">
        <v>1</v>
      </c>
      <c r="B19" t="s">
        <v>158</v>
      </c>
      <c r="C19" t="s">
        <v>158</v>
      </c>
      <c r="D19">
        <v>18</v>
      </c>
      <c r="E19" t="s">
        <v>308</v>
      </c>
      <c r="F19" t="s">
        <v>309</v>
      </c>
      <c r="G19">
        <v>45729</v>
      </c>
      <c r="I19">
        <v>0</v>
      </c>
      <c r="K19" t="s">
        <v>160</v>
      </c>
      <c r="L19">
        <v>4</v>
      </c>
      <c r="M19" t="s">
        <v>273</v>
      </c>
      <c r="N19" t="s">
        <v>159</v>
      </c>
      <c r="O19" t="s">
        <v>59</v>
      </c>
      <c r="P19" t="s">
        <v>251</v>
      </c>
      <c r="U19" s="22">
        <v>45729</v>
      </c>
      <c r="V19" s="22">
        <v>45730</v>
      </c>
      <c r="W19">
        <v>2</v>
      </c>
      <c r="AA19">
        <v>0</v>
      </c>
      <c r="AB19">
        <v>0</v>
      </c>
      <c r="AG19">
        <v>20000</v>
      </c>
      <c r="BE19" t="e">
        <f>DashboardTable[[#This Row],[ProjectID]]=#REF!</f>
        <v>#REF!</v>
      </c>
    </row>
    <row r="20" spans="1:57" x14ac:dyDescent="0.25">
      <c r="A20">
        <v>1</v>
      </c>
      <c r="B20" t="s">
        <v>235</v>
      </c>
      <c r="C20" t="s">
        <v>235</v>
      </c>
      <c r="D20">
        <v>20</v>
      </c>
      <c r="E20" t="s">
        <v>310</v>
      </c>
      <c r="G20">
        <v>45731</v>
      </c>
      <c r="I20">
        <v>0</v>
      </c>
      <c r="K20" t="s">
        <v>160</v>
      </c>
      <c r="L20">
        <v>5</v>
      </c>
      <c r="M20" t="s">
        <v>311</v>
      </c>
      <c r="N20" t="s">
        <v>159</v>
      </c>
      <c r="O20" t="s">
        <v>59</v>
      </c>
      <c r="P20" t="s">
        <v>279</v>
      </c>
      <c r="U20" s="22">
        <v>45731</v>
      </c>
      <c r="V20" s="22">
        <v>45731</v>
      </c>
      <c r="W20">
        <v>0</v>
      </c>
      <c r="AA20">
        <v>0</v>
      </c>
      <c r="AB20">
        <v>0</v>
      </c>
      <c r="BE20" t="e">
        <f>DashboardTable[[#This Row],[ProjectID]]=#REF!</f>
        <v>#REF!</v>
      </c>
    </row>
    <row r="21" spans="1:57" x14ac:dyDescent="0.25">
      <c r="A21">
        <v>2</v>
      </c>
      <c r="B21" t="s">
        <v>236</v>
      </c>
      <c r="C21" t="s">
        <v>158</v>
      </c>
      <c r="D21">
        <v>1</v>
      </c>
      <c r="I21">
        <v>0</v>
      </c>
      <c r="K21" t="s">
        <v>160</v>
      </c>
      <c r="L21">
        <v>1</v>
      </c>
      <c r="M21" t="s">
        <v>257</v>
      </c>
      <c r="N21" t="s">
        <v>159</v>
      </c>
      <c r="O21" t="s">
        <v>59</v>
      </c>
      <c r="P21" t="s">
        <v>251</v>
      </c>
      <c r="R21" s="22">
        <v>45705</v>
      </c>
      <c r="S21" s="22">
        <v>45714</v>
      </c>
      <c r="T21">
        <v>3</v>
      </c>
      <c r="U21" s="22">
        <v>45712</v>
      </c>
      <c r="V21" s="22">
        <v>45737</v>
      </c>
      <c r="W21">
        <v>12</v>
      </c>
      <c r="AA21">
        <v>0</v>
      </c>
      <c r="AB21">
        <v>0.83333333333333337</v>
      </c>
      <c r="AC21" s="22">
        <v>45708</v>
      </c>
      <c r="AD21" s="22">
        <v>45716</v>
      </c>
      <c r="AE21">
        <v>5</v>
      </c>
      <c r="AF21">
        <v>300000</v>
      </c>
      <c r="AG21">
        <v>2700</v>
      </c>
      <c r="AH21">
        <v>128600</v>
      </c>
      <c r="BE21" t="e">
        <f>DashboardTable[[#This Row],[ProjectID]]=#REF!</f>
        <v>#REF!</v>
      </c>
    </row>
    <row r="22" spans="1:57" x14ac:dyDescent="0.25">
      <c r="A22">
        <v>2</v>
      </c>
      <c r="B22" t="s">
        <v>238</v>
      </c>
      <c r="C22" t="s">
        <v>158</v>
      </c>
      <c r="D22">
        <v>2</v>
      </c>
      <c r="I22">
        <v>1</v>
      </c>
      <c r="K22" t="s">
        <v>160</v>
      </c>
      <c r="L22">
        <v>1.1000000000000001</v>
      </c>
      <c r="M22" t="s">
        <v>258</v>
      </c>
      <c r="N22" t="s">
        <v>159</v>
      </c>
      <c r="O22" t="s">
        <v>56</v>
      </c>
      <c r="P22" t="s">
        <v>251</v>
      </c>
      <c r="R22" s="22">
        <v>45712</v>
      </c>
      <c r="S22" s="22">
        <v>45714</v>
      </c>
      <c r="T22">
        <v>3</v>
      </c>
      <c r="U22" s="22">
        <v>45733</v>
      </c>
      <c r="V22" s="22">
        <v>45737</v>
      </c>
      <c r="W22">
        <v>4</v>
      </c>
      <c r="AA22">
        <v>100</v>
      </c>
      <c r="AB22">
        <v>1</v>
      </c>
      <c r="AC22" s="22">
        <v>45712</v>
      </c>
      <c r="AD22" s="22">
        <v>45716</v>
      </c>
      <c r="AE22">
        <v>5</v>
      </c>
      <c r="AG22">
        <v>2700</v>
      </c>
      <c r="BE22" t="e">
        <f>DashboardTable[[#This Row],[ProjectID]]=#REF!</f>
        <v>#REF!</v>
      </c>
    </row>
    <row r="23" spans="1:57" x14ac:dyDescent="0.25">
      <c r="A23">
        <v>2</v>
      </c>
      <c r="B23" t="s">
        <v>237</v>
      </c>
      <c r="C23" t="s">
        <v>158</v>
      </c>
      <c r="D23">
        <v>4</v>
      </c>
      <c r="I23">
        <v>2</v>
      </c>
      <c r="K23" t="s">
        <v>160</v>
      </c>
      <c r="L23" t="s">
        <v>261</v>
      </c>
      <c r="M23" t="s">
        <v>262</v>
      </c>
      <c r="N23" t="s">
        <v>159</v>
      </c>
      <c r="O23" t="s">
        <v>56</v>
      </c>
      <c r="R23" s="22">
        <v>45712</v>
      </c>
      <c r="S23" s="22">
        <v>45714</v>
      </c>
      <c r="T23">
        <v>3</v>
      </c>
      <c r="U23" s="22">
        <v>45733</v>
      </c>
      <c r="V23" s="22">
        <v>45737</v>
      </c>
      <c r="W23">
        <v>4</v>
      </c>
      <c r="AA23">
        <v>100</v>
      </c>
      <c r="AB23">
        <v>1</v>
      </c>
      <c r="AC23" s="22">
        <v>45712</v>
      </c>
      <c r="AD23" s="22">
        <v>45716</v>
      </c>
      <c r="AE23">
        <v>5</v>
      </c>
      <c r="AG23">
        <v>2700</v>
      </c>
      <c r="BE23" t="e">
        <f>DashboardTable[[#This Row],[ProjectID]]=#REF!</f>
        <v>#REF!</v>
      </c>
    </row>
    <row r="24" spans="1:57" x14ac:dyDescent="0.25">
      <c r="A24">
        <v>2</v>
      </c>
      <c r="B24" t="s">
        <v>237</v>
      </c>
      <c r="C24" t="s">
        <v>158</v>
      </c>
      <c r="D24">
        <v>3</v>
      </c>
      <c r="I24">
        <v>1</v>
      </c>
      <c r="K24" t="s">
        <v>160</v>
      </c>
      <c r="L24">
        <v>1.2</v>
      </c>
      <c r="M24" t="s">
        <v>264</v>
      </c>
      <c r="N24" t="s">
        <v>159</v>
      </c>
      <c r="O24" t="s">
        <v>59</v>
      </c>
      <c r="P24" t="s">
        <v>251</v>
      </c>
      <c r="U24" s="22">
        <v>45712</v>
      </c>
      <c r="V24" s="22">
        <v>45719</v>
      </c>
      <c r="W24">
        <v>8</v>
      </c>
      <c r="AA24">
        <v>0</v>
      </c>
      <c r="AB24">
        <v>0.5</v>
      </c>
      <c r="BE24" t="e">
        <f>DashboardTable[[#This Row],[ProjectID]]=#REF!</f>
        <v>#REF!</v>
      </c>
    </row>
    <row r="25" spans="1:57" x14ac:dyDescent="0.25">
      <c r="A25">
        <v>2</v>
      </c>
      <c r="B25" t="s">
        <v>235</v>
      </c>
      <c r="C25" t="s">
        <v>235</v>
      </c>
      <c r="D25">
        <v>6</v>
      </c>
      <c r="I25">
        <v>1</v>
      </c>
      <c r="K25" t="s">
        <v>160</v>
      </c>
      <c r="L25">
        <v>1.3</v>
      </c>
      <c r="M25" t="s">
        <v>265</v>
      </c>
      <c r="N25" t="s">
        <v>266</v>
      </c>
      <c r="O25" t="s">
        <v>56</v>
      </c>
      <c r="P25" t="s">
        <v>251</v>
      </c>
      <c r="R25" s="22">
        <v>45705</v>
      </c>
      <c r="S25" s="22">
        <v>45706</v>
      </c>
      <c r="T25">
        <v>0</v>
      </c>
      <c r="U25" s="22">
        <v>45727</v>
      </c>
      <c r="V25" s="22">
        <v>45727</v>
      </c>
      <c r="W25">
        <v>0</v>
      </c>
      <c r="AA25">
        <v>100</v>
      </c>
      <c r="AB25">
        <v>1</v>
      </c>
      <c r="AC25" s="22">
        <v>45708</v>
      </c>
      <c r="AD25" s="22">
        <v>45708</v>
      </c>
      <c r="AE25">
        <v>0</v>
      </c>
      <c r="AF25">
        <v>300000</v>
      </c>
      <c r="AH25">
        <v>128600</v>
      </c>
      <c r="BE25" t="e">
        <f>DashboardTable[[#This Row],[ProjectID]]=#REF!</f>
        <v>#REF!</v>
      </c>
    </row>
    <row r="26" spans="1:57" x14ac:dyDescent="0.25">
      <c r="A26">
        <v>2</v>
      </c>
      <c r="B26" t="s">
        <v>236</v>
      </c>
      <c r="C26" t="s">
        <v>158</v>
      </c>
      <c r="D26">
        <v>29</v>
      </c>
      <c r="I26">
        <v>0</v>
      </c>
      <c r="K26" t="s">
        <v>160</v>
      </c>
      <c r="L26">
        <v>2</v>
      </c>
      <c r="M26" t="s">
        <v>257</v>
      </c>
      <c r="N26" t="s">
        <v>159</v>
      </c>
      <c r="O26" t="s">
        <v>59</v>
      </c>
      <c r="P26" t="s">
        <v>251</v>
      </c>
      <c r="R26" s="22">
        <v>45705</v>
      </c>
      <c r="S26" s="22">
        <v>45714</v>
      </c>
      <c r="T26">
        <v>3</v>
      </c>
      <c r="U26" s="22">
        <v>45712</v>
      </c>
      <c r="V26" s="22">
        <v>45737</v>
      </c>
      <c r="W26">
        <v>12</v>
      </c>
      <c r="AA26">
        <v>0</v>
      </c>
      <c r="AB26">
        <v>0.83333333333333337</v>
      </c>
      <c r="AC26" s="22">
        <v>45708</v>
      </c>
      <c r="AD26" s="22">
        <v>45716</v>
      </c>
      <c r="AE26">
        <v>5</v>
      </c>
      <c r="AF26">
        <v>300000</v>
      </c>
      <c r="AG26">
        <v>2700</v>
      </c>
      <c r="AH26">
        <v>128600</v>
      </c>
      <c r="BE26" t="e">
        <f>DashboardTable[[#This Row],[ProjectID]]=#REF!</f>
        <v>#REF!</v>
      </c>
    </row>
    <row r="27" spans="1:57" x14ac:dyDescent="0.25">
      <c r="A27">
        <v>2</v>
      </c>
      <c r="B27" t="s">
        <v>238</v>
      </c>
      <c r="C27" t="s">
        <v>158</v>
      </c>
      <c r="D27">
        <v>30</v>
      </c>
      <c r="I27">
        <v>1</v>
      </c>
      <c r="K27" t="s">
        <v>160</v>
      </c>
      <c r="L27">
        <v>2.1</v>
      </c>
      <c r="M27" t="s">
        <v>258</v>
      </c>
      <c r="N27" t="s">
        <v>159</v>
      </c>
      <c r="O27" t="s">
        <v>56</v>
      </c>
      <c r="P27" t="s">
        <v>251</v>
      </c>
      <c r="R27" s="22">
        <v>45712</v>
      </c>
      <c r="S27" s="22">
        <v>45714</v>
      </c>
      <c r="T27">
        <v>3</v>
      </c>
      <c r="U27" s="22">
        <v>45733</v>
      </c>
      <c r="V27" s="22">
        <v>45737</v>
      </c>
      <c r="W27">
        <v>4</v>
      </c>
      <c r="AA27">
        <v>100</v>
      </c>
      <c r="AB27">
        <v>1</v>
      </c>
      <c r="AC27" s="22">
        <v>45712</v>
      </c>
      <c r="AD27" s="22">
        <v>45716</v>
      </c>
      <c r="AE27">
        <v>5</v>
      </c>
      <c r="AG27">
        <v>2700</v>
      </c>
      <c r="BE27" t="e">
        <f>DashboardTable[[#This Row],[ProjectID]]=#REF!</f>
        <v>#REF!</v>
      </c>
    </row>
    <row r="28" spans="1:57" x14ac:dyDescent="0.25">
      <c r="A28">
        <v>2</v>
      </c>
      <c r="B28" t="s">
        <v>237</v>
      </c>
      <c r="C28" t="s">
        <v>158</v>
      </c>
      <c r="D28">
        <v>31</v>
      </c>
      <c r="I28">
        <v>2</v>
      </c>
      <c r="K28" t="s">
        <v>160</v>
      </c>
      <c r="L28" t="s">
        <v>247</v>
      </c>
      <c r="M28" t="s">
        <v>262</v>
      </c>
      <c r="N28" t="s">
        <v>159</v>
      </c>
      <c r="O28" t="s">
        <v>56</v>
      </c>
      <c r="R28" s="22">
        <v>45712</v>
      </c>
      <c r="S28" s="22">
        <v>45714</v>
      </c>
      <c r="T28">
        <v>3</v>
      </c>
      <c r="U28" s="22">
        <v>45733</v>
      </c>
      <c r="V28" s="22">
        <v>45737</v>
      </c>
      <c r="W28">
        <v>4</v>
      </c>
      <c r="AA28">
        <v>100</v>
      </c>
      <c r="AB28">
        <v>1</v>
      </c>
      <c r="AC28" s="22">
        <v>45712</v>
      </c>
      <c r="AD28" s="22">
        <v>45716</v>
      </c>
      <c r="AE28">
        <v>5</v>
      </c>
      <c r="AG28">
        <v>2700</v>
      </c>
      <c r="BE28" t="e">
        <f>DashboardTable[[#This Row],[ProjectID]]=#REF!</f>
        <v>#REF!</v>
      </c>
    </row>
    <row r="29" spans="1:57" x14ac:dyDescent="0.25">
      <c r="A29">
        <v>2</v>
      </c>
      <c r="B29" t="s">
        <v>237</v>
      </c>
      <c r="C29" t="s">
        <v>158</v>
      </c>
      <c r="D29">
        <v>32</v>
      </c>
      <c r="I29">
        <v>1</v>
      </c>
      <c r="K29" t="s">
        <v>160</v>
      </c>
      <c r="L29">
        <v>2.2000000000000002</v>
      </c>
      <c r="M29" t="s">
        <v>264</v>
      </c>
      <c r="N29" t="s">
        <v>159</v>
      </c>
      <c r="O29" t="s">
        <v>59</v>
      </c>
      <c r="P29" t="s">
        <v>251</v>
      </c>
      <c r="U29" s="22">
        <v>45712</v>
      </c>
      <c r="V29" s="22">
        <v>45719</v>
      </c>
      <c r="W29">
        <v>8</v>
      </c>
      <c r="AA29">
        <v>0</v>
      </c>
      <c r="AB29">
        <v>0.5</v>
      </c>
      <c r="BE29" t="e">
        <f>DashboardTable[[#This Row],[ProjectID]]=#REF!</f>
        <v>#REF!</v>
      </c>
    </row>
    <row r="30" spans="1:57" x14ac:dyDescent="0.25">
      <c r="A30">
        <v>2</v>
      </c>
      <c r="B30" t="s">
        <v>235</v>
      </c>
      <c r="C30" t="s">
        <v>235</v>
      </c>
      <c r="D30">
        <v>33</v>
      </c>
      <c r="I30">
        <v>1</v>
      </c>
      <c r="K30" t="s">
        <v>160</v>
      </c>
      <c r="L30">
        <v>2.2999999999999998</v>
      </c>
      <c r="M30" t="s">
        <v>265</v>
      </c>
      <c r="N30" t="s">
        <v>266</v>
      </c>
      <c r="O30" t="s">
        <v>56</v>
      </c>
      <c r="P30" t="s">
        <v>251</v>
      </c>
      <c r="R30" s="22">
        <v>45705</v>
      </c>
      <c r="S30" s="22">
        <v>45706</v>
      </c>
      <c r="T30">
        <v>0</v>
      </c>
      <c r="U30" s="22">
        <v>45727</v>
      </c>
      <c r="V30" s="22">
        <v>45727</v>
      </c>
      <c r="W30">
        <v>0</v>
      </c>
      <c r="AA30">
        <v>100</v>
      </c>
      <c r="AB30">
        <v>1</v>
      </c>
      <c r="AC30" s="22">
        <v>45708</v>
      </c>
      <c r="AD30" s="22">
        <v>45708</v>
      </c>
      <c r="AE30">
        <v>0</v>
      </c>
      <c r="AF30">
        <v>300000</v>
      </c>
      <c r="AH30">
        <v>128600</v>
      </c>
      <c r="BE30" t="e">
        <f>DashboardTable[[#This Row],[ProjectID]]=#REF!</f>
        <v>#REF!</v>
      </c>
    </row>
    <row r="31" spans="1:57" x14ac:dyDescent="0.25">
      <c r="A31">
        <v>2</v>
      </c>
      <c r="B31" t="s">
        <v>236</v>
      </c>
      <c r="C31" t="s">
        <v>158</v>
      </c>
      <c r="D31">
        <v>7</v>
      </c>
      <c r="I31">
        <v>0</v>
      </c>
      <c r="K31" t="s">
        <v>160</v>
      </c>
      <c r="L31">
        <v>3</v>
      </c>
      <c r="M31" t="s">
        <v>267</v>
      </c>
      <c r="N31" t="s">
        <v>159</v>
      </c>
      <c r="O31" t="s">
        <v>59</v>
      </c>
      <c r="P31" t="s">
        <v>251</v>
      </c>
      <c r="U31" s="22">
        <v>45705</v>
      </c>
      <c r="V31" s="22">
        <v>45727</v>
      </c>
      <c r="W31">
        <v>40</v>
      </c>
      <c r="AA31">
        <v>0</v>
      </c>
      <c r="AB31">
        <v>0.66666666666666652</v>
      </c>
      <c r="AF31">
        <v>25000</v>
      </c>
      <c r="AG31">
        <v>201800</v>
      </c>
      <c r="AH31">
        <v>42500</v>
      </c>
      <c r="BE31" t="e">
        <f>DashboardTable[[#This Row],[ProjectID]]=#REF!</f>
        <v>#REF!</v>
      </c>
    </row>
    <row r="32" spans="1:57" x14ac:dyDescent="0.25">
      <c r="A32">
        <v>2</v>
      </c>
      <c r="B32" t="s">
        <v>238</v>
      </c>
      <c r="C32" t="s">
        <v>158</v>
      </c>
      <c r="D32">
        <v>8</v>
      </c>
      <c r="I32">
        <v>1</v>
      </c>
      <c r="K32" t="s">
        <v>160</v>
      </c>
      <c r="L32">
        <v>3.1</v>
      </c>
      <c r="M32" t="s">
        <v>268</v>
      </c>
      <c r="N32" t="s">
        <v>159</v>
      </c>
      <c r="O32" t="s">
        <v>56</v>
      </c>
      <c r="P32" t="s">
        <v>252</v>
      </c>
      <c r="U32" s="22">
        <v>45705</v>
      </c>
      <c r="V32" s="22">
        <v>45720</v>
      </c>
      <c r="W32">
        <v>27</v>
      </c>
      <c r="AA32">
        <v>100</v>
      </c>
      <c r="AB32">
        <v>1</v>
      </c>
      <c r="AF32">
        <v>25000</v>
      </c>
      <c r="AG32">
        <v>73800</v>
      </c>
      <c r="AH32">
        <v>42500</v>
      </c>
      <c r="BE32" t="e">
        <f>DashboardTable[[#This Row],[ProjectID]]=#REF!</f>
        <v>#REF!</v>
      </c>
    </row>
    <row r="33" spans="1:57" x14ac:dyDescent="0.25">
      <c r="A33">
        <v>2</v>
      </c>
      <c r="B33" t="s">
        <v>237</v>
      </c>
      <c r="C33" t="s">
        <v>158</v>
      </c>
      <c r="D33">
        <v>9</v>
      </c>
      <c r="F33" t="s">
        <v>284</v>
      </c>
      <c r="I33">
        <v>2</v>
      </c>
      <c r="K33" t="s">
        <v>160</v>
      </c>
      <c r="L33" t="s">
        <v>275</v>
      </c>
      <c r="M33" t="s">
        <v>312</v>
      </c>
      <c r="N33" t="s">
        <v>159</v>
      </c>
      <c r="O33" t="s">
        <v>56</v>
      </c>
      <c r="P33" t="s">
        <v>252</v>
      </c>
      <c r="U33" s="22">
        <v>45705</v>
      </c>
      <c r="V33" s="22">
        <v>45709</v>
      </c>
      <c r="W33">
        <v>4</v>
      </c>
      <c r="AA33">
        <v>100</v>
      </c>
      <c r="AB33">
        <v>1</v>
      </c>
      <c r="AF33">
        <v>25000</v>
      </c>
      <c r="AG33">
        <v>35000</v>
      </c>
      <c r="AH33">
        <v>42500</v>
      </c>
      <c r="BE33" t="e">
        <f>DashboardTable[[#This Row],[ProjectID]]=#REF!</f>
        <v>#REF!</v>
      </c>
    </row>
    <row r="34" spans="1:57" x14ac:dyDescent="0.25">
      <c r="A34">
        <v>2</v>
      </c>
      <c r="B34" t="s">
        <v>237</v>
      </c>
      <c r="C34" t="s">
        <v>158</v>
      </c>
      <c r="D34">
        <v>10</v>
      </c>
      <c r="E34" t="s">
        <v>286</v>
      </c>
      <c r="F34" t="s">
        <v>287</v>
      </c>
      <c r="G34">
        <v>45708</v>
      </c>
      <c r="I34">
        <v>2</v>
      </c>
      <c r="K34" t="s">
        <v>160</v>
      </c>
      <c r="L34" t="s">
        <v>326</v>
      </c>
      <c r="M34" t="s">
        <v>289</v>
      </c>
      <c r="N34" t="s">
        <v>159</v>
      </c>
      <c r="O34" t="s">
        <v>56</v>
      </c>
      <c r="P34" t="s">
        <v>253</v>
      </c>
      <c r="U34" s="22">
        <v>45708</v>
      </c>
      <c r="V34" s="22">
        <v>45720</v>
      </c>
      <c r="W34">
        <v>13</v>
      </c>
      <c r="AA34">
        <v>100</v>
      </c>
      <c r="AB34">
        <v>1</v>
      </c>
      <c r="AG34">
        <v>35000</v>
      </c>
      <c r="BE34" t="e">
        <f>DashboardTable[[#This Row],[ProjectID]]=#REF!</f>
        <v>#REF!</v>
      </c>
    </row>
    <row r="35" spans="1:57" x14ac:dyDescent="0.25">
      <c r="A35">
        <v>2</v>
      </c>
      <c r="B35" t="s">
        <v>237</v>
      </c>
      <c r="C35" t="s">
        <v>158</v>
      </c>
      <c r="D35">
        <v>11</v>
      </c>
      <c r="E35" t="s">
        <v>290</v>
      </c>
      <c r="F35" t="s">
        <v>291</v>
      </c>
      <c r="G35">
        <v>45708</v>
      </c>
      <c r="I35">
        <v>2</v>
      </c>
      <c r="K35" t="s">
        <v>160</v>
      </c>
      <c r="L35" t="s">
        <v>327</v>
      </c>
      <c r="M35" t="s">
        <v>269</v>
      </c>
      <c r="N35" t="s">
        <v>159</v>
      </c>
      <c r="O35" t="s">
        <v>56</v>
      </c>
      <c r="P35" t="s">
        <v>253</v>
      </c>
      <c r="U35" s="22">
        <v>45708</v>
      </c>
      <c r="V35" s="22">
        <v>45717</v>
      </c>
      <c r="W35">
        <v>10</v>
      </c>
      <c r="AA35">
        <v>100</v>
      </c>
      <c r="AB35">
        <v>1</v>
      </c>
      <c r="AG35">
        <v>3800</v>
      </c>
      <c r="BE35" t="e">
        <f>DashboardTable[[#This Row],[ProjectID]]=#REF!</f>
        <v>#REF!</v>
      </c>
    </row>
    <row r="36" spans="1:57" x14ac:dyDescent="0.25">
      <c r="A36">
        <v>2</v>
      </c>
      <c r="B36" t="s">
        <v>238</v>
      </c>
      <c r="C36" t="s">
        <v>158</v>
      </c>
      <c r="D36">
        <v>12</v>
      </c>
      <c r="I36">
        <v>1</v>
      </c>
      <c r="K36" t="s">
        <v>160</v>
      </c>
      <c r="L36">
        <v>3.2</v>
      </c>
      <c r="M36" t="s">
        <v>293</v>
      </c>
      <c r="N36" t="s">
        <v>159</v>
      </c>
      <c r="O36" t="s">
        <v>59</v>
      </c>
      <c r="P36" t="s">
        <v>254</v>
      </c>
      <c r="U36" s="22">
        <v>45718</v>
      </c>
      <c r="V36" s="22">
        <v>45727</v>
      </c>
      <c r="W36">
        <v>13</v>
      </c>
      <c r="AA36">
        <v>0</v>
      </c>
      <c r="AB36">
        <v>0.33333333333333331</v>
      </c>
      <c r="AG36">
        <v>128000</v>
      </c>
      <c r="BE36" t="e">
        <f>DashboardTable[[#This Row],[ProjectID]]=#REF!</f>
        <v>#REF!</v>
      </c>
    </row>
    <row r="37" spans="1:57" x14ac:dyDescent="0.25">
      <c r="A37">
        <v>2</v>
      </c>
      <c r="B37" t="s">
        <v>237</v>
      </c>
      <c r="C37" t="s">
        <v>158</v>
      </c>
      <c r="D37">
        <v>13</v>
      </c>
      <c r="E37" t="s">
        <v>294</v>
      </c>
      <c r="F37" t="s">
        <v>295</v>
      </c>
      <c r="G37">
        <v>45718</v>
      </c>
      <c r="I37">
        <v>2</v>
      </c>
      <c r="K37" t="s">
        <v>160</v>
      </c>
      <c r="L37" t="s">
        <v>328</v>
      </c>
      <c r="M37" t="s">
        <v>297</v>
      </c>
      <c r="N37" t="s">
        <v>266</v>
      </c>
      <c r="O37" t="s">
        <v>59</v>
      </c>
      <c r="P37" t="s">
        <v>254</v>
      </c>
      <c r="U37" s="22">
        <v>45718</v>
      </c>
      <c r="V37" s="22">
        <v>45723</v>
      </c>
      <c r="W37">
        <v>5</v>
      </c>
      <c r="AA37">
        <v>0</v>
      </c>
      <c r="AB37">
        <v>0.5</v>
      </c>
      <c r="AG37">
        <v>65000</v>
      </c>
      <c r="BE37" t="e">
        <f>DashboardTable[[#This Row],[ProjectID]]=#REF!</f>
        <v>#REF!</v>
      </c>
    </row>
    <row r="38" spans="1:57" x14ac:dyDescent="0.25">
      <c r="A38">
        <v>2</v>
      </c>
      <c r="B38" t="s">
        <v>237</v>
      </c>
      <c r="C38" t="s">
        <v>158</v>
      </c>
      <c r="D38">
        <v>19</v>
      </c>
      <c r="E38" t="s">
        <v>298</v>
      </c>
      <c r="G38">
        <v>45724</v>
      </c>
      <c r="I38">
        <v>2</v>
      </c>
      <c r="K38" t="s">
        <v>160</v>
      </c>
      <c r="L38" t="s">
        <v>329</v>
      </c>
      <c r="M38" t="s">
        <v>300</v>
      </c>
      <c r="N38" t="s">
        <v>159</v>
      </c>
      <c r="O38" t="s">
        <v>59</v>
      </c>
      <c r="P38" t="s">
        <v>254</v>
      </c>
      <c r="U38" s="22">
        <v>45724</v>
      </c>
      <c r="V38" s="22">
        <v>45727</v>
      </c>
      <c r="W38">
        <v>4</v>
      </c>
      <c r="AA38">
        <v>0</v>
      </c>
      <c r="AB38">
        <v>0.25</v>
      </c>
      <c r="AG38">
        <v>47000</v>
      </c>
      <c r="BE38" t="e">
        <f>DashboardTable[[#This Row],[ProjectID]]=#REF!</f>
        <v>#REF!</v>
      </c>
    </row>
    <row r="39" spans="1:57" x14ac:dyDescent="0.25">
      <c r="A39">
        <v>2</v>
      </c>
      <c r="B39" t="s">
        <v>237</v>
      </c>
      <c r="C39" t="s">
        <v>158</v>
      </c>
      <c r="D39">
        <v>14</v>
      </c>
      <c r="E39" t="s">
        <v>298</v>
      </c>
      <c r="F39" t="s">
        <v>301</v>
      </c>
      <c r="G39">
        <v>45724</v>
      </c>
      <c r="I39">
        <v>2</v>
      </c>
      <c r="K39" t="s">
        <v>160</v>
      </c>
      <c r="L39" t="s">
        <v>330</v>
      </c>
      <c r="M39" t="s">
        <v>303</v>
      </c>
      <c r="N39" t="s">
        <v>159</v>
      </c>
      <c r="O39" t="s">
        <v>59</v>
      </c>
      <c r="P39" t="s">
        <v>256</v>
      </c>
      <c r="U39" s="22">
        <v>45724</v>
      </c>
      <c r="V39" s="22">
        <v>45727</v>
      </c>
      <c r="W39">
        <v>4</v>
      </c>
      <c r="AA39">
        <v>0</v>
      </c>
      <c r="AB39">
        <v>0.25</v>
      </c>
      <c r="AG39">
        <v>16000</v>
      </c>
      <c r="BE39" t="e">
        <f>DashboardTable[[#This Row],[ProjectID]]=#REF!</f>
        <v>#REF!</v>
      </c>
    </row>
    <row r="40" spans="1:57" x14ac:dyDescent="0.25">
      <c r="A40">
        <v>2</v>
      </c>
      <c r="B40" t="s">
        <v>236</v>
      </c>
      <c r="C40" t="s">
        <v>158</v>
      </c>
      <c r="D40">
        <v>34</v>
      </c>
      <c r="I40">
        <v>0</v>
      </c>
      <c r="K40" t="s">
        <v>160</v>
      </c>
      <c r="L40">
        <v>4</v>
      </c>
      <c r="M40" t="s">
        <v>267</v>
      </c>
      <c r="N40" t="s">
        <v>159</v>
      </c>
      <c r="O40" t="s">
        <v>59</v>
      </c>
      <c r="P40" t="s">
        <v>251</v>
      </c>
      <c r="U40" s="22">
        <v>45705</v>
      </c>
      <c r="V40" s="22">
        <v>45727</v>
      </c>
      <c r="W40">
        <v>40</v>
      </c>
      <c r="AA40">
        <v>0</v>
      </c>
      <c r="AB40">
        <v>0.66666666666666652</v>
      </c>
      <c r="AF40">
        <v>25000</v>
      </c>
      <c r="AG40">
        <v>201800</v>
      </c>
      <c r="AH40">
        <v>42500</v>
      </c>
      <c r="BE40" t="e">
        <f>DashboardTable[[#This Row],[ProjectID]]=#REF!</f>
        <v>#REF!</v>
      </c>
    </row>
    <row r="41" spans="1:57" x14ac:dyDescent="0.25">
      <c r="A41">
        <v>2</v>
      </c>
      <c r="B41" t="s">
        <v>238</v>
      </c>
      <c r="C41" t="s">
        <v>158</v>
      </c>
      <c r="D41">
        <v>35</v>
      </c>
      <c r="I41">
        <v>1</v>
      </c>
      <c r="K41" t="s">
        <v>160</v>
      </c>
      <c r="L41">
        <v>4.0999999999999996</v>
      </c>
      <c r="M41" t="s">
        <v>268</v>
      </c>
      <c r="N41" t="s">
        <v>159</v>
      </c>
      <c r="O41" t="s">
        <v>56</v>
      </c>
      <c r="P41" t="s">
        <v>252</v>
      </c>
      <c r="U41" s="22">
        <v>45705</v>
      </c>
      <c r="V41" s="22">
        <v>45720</v>
      </c>
      <c r="W41">
        <v>27</v>
      </c>
      <c r="AA41">
        <v>100</v>
      </c>
      <c r="AB41">
        <v>1</v>
      </c>
      <c r="AF41">
        <v>25000</v>
      </c>
      <c r="AG41">
        <v>73800</v>
      </c>
      <c r="AH41">
        <v>42500</v>
      </c>
      <c r="BE41" t="e">
        <f>DashboardTable[[#This Row],[ProjectID]]=#REF!</f>
        <v>#REF!</v>
      </c>
    </row>
    <row r="42" spans="1:57" x14ac:dyDescent="0.25">
      <c r="A42">
        <v>2</v>
      </c>
      <c r="B42" t="s">
        <v>237</v>
      </c>
      <c r="C42" t="s">
        <v>158</v>
      </c>
      <c r="D42">
        <v>36</v>
      </c>
      <c r="I42">
        <v>2</v>
      </c>
      <c r="K42" t="s">
        <v>160</v>
      </c>
      <c r="L42" t="s">
        <v>276</v>
      </c>
      <c r="M42" t="s">
        <v>312</v>
      </c>
      <c r="N42" t="s">
        <v>159</v>
      </c>
      <c r="O42" t="s">
        <v>56</v>
      </c>
      <c r="P42" t="s">
        <v>252</v>
      </c>
      <c r="U42" s="22">
        <v>45705</v>
      </c>
      <c r="V42" s="22">
        <v>45709</v>
      </c>
      <c r="W42">
        <v>4</v>
      </c>
      <c r="AA42">
        <v>100</v>
      </c>
      <c r="AB42">
        <v>1</v>
      </c>
      <c r="AF42">
        <v>25000</v>
      </c>
      <c r="AG42">
        <v>35000</v>
      </c>
      <c r="AH42">
        <v>42500</v>
      </c>
      <c r="BE42" t="e">
        <f>DashboardTable[[#This Row],[ProjectID]]=#REF!</f>
        <v>#REF!</v>
      </c>
    </row>
    <row r="43" spans="1:57" x14ac:dyDescent="0.25">
      <c r="A43">
        <v>2</v>
      </c>
      <c r="B43" t="s">
        <v>237</v>
      </c>
      <c r="C43" t="s">
        <v>158</v>
      </c>
      <c r="D43">
        <v>37</v>
      </c>
      <c r="I43">
        <v>2</v>
      </c>
      <c r="K43" t="s">
        <v>160</v>
      </c>
      <c r="L43" t="s">
        <v>331</v>
      </c>
      <c r="M43" t="s">
        <v>289</v>
      </c>
      <c r="N43" t="s">
        <v>159</v>
      </c>
      <c r="O43" t="s">
        <v>56</v>
      </c>
      <c r="P43" t="s">
        <v>253</v>
      </c>
      <c r="U43" s="22">
        <v>45708</v>
      </c>
      <c r="V43" s="22">
        <v>45720</v>
      </c>
      <c r="W43">
        <v>13</v>
      </c>
      <c r="AA43">
        <v>100</v>
      </c>
      <c r="AB43">
        <v>1</v>
      </c>
      <c r="AG43">
        <v>35000</v>
      </c>
      <c r="BE43" t="e">
        <f>DashboardTable[[#This Row],[ProjectID]]=#REF!</f>
        <v>#REF!</v>
      </c>
    </row>
    <row r="44" spans="1:57" x14ac:dyDescent="0.25">
      <c r="A44">
        <v>2</v>
      </c>
      <c r="B44" t="s">
        <v>237</v>
      </c>
      <c r="C44" t="s">
        <v>158</v>
      </c>
      <c r="D44">
        <v>38</v>
      </c>
      <c r="I44">
        <v>2</v>
      </c>
      <c r="K44" t="s">
        <v>160</v>
      </c>
      <c r="L44" t="s">
        <v>332</v>
      </c>
      <c r="M44" t="s">
        <v>269</v>
      </c>
      <c r="N44" t="s">
        <v>159</v>
      </c>
      <c r="O44" t="s">
        <v>56</v>
      </c>
      <c r="P44" t="s">
        <v>253</v>
      </c>
      <c r="U44" s="22">
        <v>45708</v>
      </c>
      <c r="V44" s="22">
        <v>45717</v>
      </c>
      <c r="W44">
        <v>10</v>
      </c>
      <c r="AA44">
        <v>100</v>
      </c>
      <c r="AB44">
        <v>1</v>
      </c>
      <c r="AG44">
        <v>3800</v>
      </c>
      <c r="BE44" t="e">
        <f>DashboardTable[[#This Row],[ProjectID]]=#REF!</f>
        <v>#REF!</v>
      </c>
    </row>
    <row r="45" spans="1:57" x14ac:dyDescent="0.25">
      <c r="A45">
        <v>2</v>
      </c>
      <c r="B45" t="s">
        <v>238</v>
      </c>
      <c r="C45" t="s">
        <v>158</v>
      </c>
      <c r="D45">
        <v>39</v>
      </c>
      <c r="I45">
        <v>1</v>
      </c>
      <c r="K45" t="s">
        <v>160</v>
      </c>
      <c r="L45">
        <v>4.2</v>
      </c>
      <c r="M45" t="s">
        <v>293</v>
      </c>
      <c r="N45" t="s">
        <v>159</v>
      </c>
      <c r="O45" t="s">
        <v>59</v>
      </c>
      <c r="P45" t="s">
        <v>254</v>
      </c>
      <c r="U45" s="22">
        <v>45718</v>
      </c>
      <c r="V45" s="22">
        <v>45727</v>
      </c>
      <c r="W45">
        <v>13</v>
      </c>
      <c r="AA45">
        <v>0</v>
      </c>
      <c r="AB45">
        <v>0.33333333333333331</v>
      </c>
      <c r="AG45">
        <v>128000</v>
      </c>
      <c r="BE45" t="e">
        <f>DashboardTable[[#This Row],[ProjectID]]=#REF!</f>
        <v>#REF!</v>
      </c>
    </row>
    <row r="46" spans="1:57" x14ac:dyDescent="0.25">
      <c r="A46">
        <v>2</v>
      </c>
      <c r="B46" t="s">
        <v>237</v>
      </c>
      <c r="C46" t="s">
        <v>158</v>
      </c>
      <c r="D46">
        <v>40</v>
      </c>
      <c r="I46">
        <v>2</v>
      </c>
      <c r="K46" t="s">
        <v>160</v>
      </c>
      <c r="L46" t="s">
        <v>333</v>
      </c>
      <c r="M46" t="s">
        <v>297</v>
      </c>
      <c r="N46" t="s">
        <v>266</v>
      </c>
      <c r="O46" t="s">
        <v>59</v>
      </c>
      <c r="P46" t="s">
        <v>254</v>
      </c>
      <c r="U46" s="22">
        <v>45718</v>
      </c>
      <c r="V46" s="22">
        <v>45723</v>
      </c>
      <c r="W46">
        <v>5</v>
      </c>
      <c r="AA46">
        <v>0</v>
      </c>
      <c r="AB46">
        <v>0.5</v>
      </c>
      <c r="AG46">
        <v>65000</v>
      </c>
      <c r="BE46" t="e">
        <f>DashboardTable[[#This Row],[ProjectID]]=#REF!</f>
        <v>#REF!</v>
      </c>
    </row>
    <row r="47" spans="1:57" x14ac:dyDescent="0.25">
      <c r="A47">
        <v>2</v>
      </c>
      <c r="B47" t="s">
        <v>237</v>
      </c>
      <c r="C47" t="s">
        <v>158</v>
      </c>
      <c r="D47">
        <v>41</v>
      </c>
      <c r="I47">
        <v>2</v>
      </c>
      <c r="K47" t="s">
        <v>160</v>
      </c>
      <c r="L47" t="s">
        <v>334</v>
      </c>
      <c r="M47" t="s">
        <v>300</v>
      </c>
      <c r="N47" t="s">
        <v>159</v>
      </c>
      <c r="O47" t="s">
        <v>59</v>
      </c>
      <c r="P47" t="s">
        <v>254</v>
      </c>
      <c r="U47" s="22">
        <v>45724</v>
      </c>
      <c r="V47" s="22">
        <v>45727</v>
      </c>
      <c r="W47">
        <v>4</v>
      </c>
      <c r="AA47">
        <v>0</v>
      </c>
      <c r="AB47">
        <v>0.25</v>
      </c>
      <c r="AG47">
        <v>47000</v>
      </c>
      <c r="BE47" t="e">
        <f>DashboardTable[[#This Row],[ProjectID]]=#REF!</f>
        <v>#REF!</v>
      </c>
    </row>
    <row r="48" spans="1:57" x14ac:dyDescent="0.25">
      <c r="A48">
        <v>2</v>
      </c>
      <c r="B48" t="s">
        <v>237</v>
      </c>
      <c r="C48" t="s">
        <v>158</v>
      </c>
      <c r="D48">
        <v>42</v>
      </c>
      <c r="I48">
        <v>2</v>
      </c>
      <c r="K48" t="s">
        <v>160</v>
      </c>
      <c r="L48" t="s">
        <v>335</v>
      </c>
      <c r="M48" t="s">
        <v>303</v>
      </c>
      <c r="N48" t="s">
        <v>159</v>
      </c>
      <c r="O48" t="s">
        <v>59</v>
      </c>
      <c r="P48" t="s">
        <v>256</v>
      </c>
      <c r="U48" s="22">
        <v>45724</v>
      </c>
      <c r="V48" s="22">
        <v>45727</v>
      </c>
      <c r="W48">
        <v>4</v>
      </c>
      <c r="AA48">
        <v>0</v>
      </c>
      <c r="AB48">
        <v>0.25</v>
      </c>
      <c r="AG48">
        <v>16000</v>
      </c>
      <c r="BE48" t="e">
        <f>DashboardTable[[#This Row],[ProjectID]]=#REF!</f>
        <v>#REF!</v>
      </c>
    </row>
    <row r="49" spans="1:57" x14ac:dyDescent="0.25">
      <c r="A49">
        <v>2</v>
      </c>
      <c r="B49" t="s">
        <v>236</v>
      </c>
      <c r="C49" t="s">
        <v>158</v>
      </c>
      <c r="D49">
        <v>15</v>
      </c>
      <c r="I49">
        <v>0</v>
      </c>
      <c r="K49" t="s">
        <v>160</v>
      </c>
      <c r="L49">
        <v>5</v>
      </c>
      <c r="M49" t="s">
        <v>270</v>
      </c>
      <c r="N49" t="s">
        <v>159</v>
      </c>
      <c r="O49" t="s">
        <v>59</v>
      </c>
      <c r="P49" t="s">
        <v>256</v>
      </c>
      <c r="U49" s="22">
        <v>45728</v>
      </c>
      <c r="V49" s="22">
        <v>45729</v>
      </c>
      <c r="W49">
        <v>4</v>
      </c>
      <c r="AA49">
        <v>0</v>
      </c>
      <c r="AB49">
        <v>0</v>
      </c>
      <c r="AG49">
        <v>93500</v>
      </c>
      <c r="BE49" t="e">
        <f>DashboardTable[[#This Row],[ProjectID]]=#REF!</f>
        <v>#REF!</v>
      </c>
    </row>
    <row r="50" spans="1:57" x14ac:dyDescent="0.25">
      <c r="A50">
        <v>2</v>
      </c>
      <c r="B50" t="s">
        <v>237</v>
      </c>
      <c r="C50" t="s">
        <v>158</v>
      </c>
      <c r="D50">
        <v>16</v>
      </c>
      <c r="E50" t="s">
        <v>304</v>
      </c>
      <c r="F50" t="s">
        <v>305</v>
      </c>
      <c r="G50">
        <v>45728</v>
      </c>
      <c r="I50">
        <v>1</v>
      </c>
      <c r="K50" t="s">
        <v>160</v>
      </c>
      <c r="L50">
        <v>5.0999999999999996</v>
      </c>
      <c r="M50" t="s">
        <v>271</v>
      </c>
      <c r="N50" t="s">
        <v>159</v>
      </c>
      <c r="O50" t="s">
        <v>59</v>
      </c>
      <c r="P50" t="s">
        <v>254</v>
      </c>
      <c r="U50" s="22">
        <v>45728</v>
      </c>
      <c r="V50" s="22">
        <v>45729</v>
      </c>
      <c r="W50">
        <v>2</v>
      </c>
      <c r="AA50">
        <v>0</v>
      </c>
      <c r="AB50">
        <v>0</v>
      </c>
      <c r="AG50">
        <v>13500</v>
      </c>
      <c r="BE50" t="e">
        <f>DashboardTable[[#This Row],[ProjectID]]=#REF!</f>
        <v>#REF!</v>
      </c>
    </row>
    <row r="51" spans="1:57" x14ac:dyDescent="0.25">
      <c r="A51">
        <v>2</v>
      </c>
      <c r="B51" t="s">
        <v>237</v>
      </c>
      <c r="C51" t="s">
        <v>158</v>
      </c>
      <c r="D51">
        <v>17</v>
      </c>
      <c r="E51" t="s">
        <v>306</v>
      </c>
      <c r="F51" t="s">
        <v>307</v>
      </c>
      <c r="G51">
        <v>45728</v>
      </c>
      <c r="I51">
        <v>1</v>
      </c>
      <c r="K51" t="s">
        <v>160</v>
      </c>
      <c r="L51">
        <v>5.2</v>
      </c>
      <c r="M51" t="s">
        <v>272</v>
      </c>
      <c r="N51" t="s">
        <v>259</v>
      </c>
      <c r="O51" t="s">
        <v>59</v>
      </c>
      <c r="P51" t="s">
        <v>255</v>
      </c>
      <c r="U51" s="22">
        <v>45728</v>
      </c>
      <c r="V51" s="22">
        <v>45729</v>
      </c>
      <c r="W51">
        <v>2</v>
      </c>
      <c r="AA51">
        <v>0</v>
      </c>
      <c r="AB51">
        <v>0</v>
      </c>
      <c r="AG51">
        <v>80000</v>
      </c>
      <c r="BE51" t="e">
        <f>DashboardTable[[#This Row],[ProjectID]]=#REF!</f>
        <v>#REF!</v>
      </c>
    </row>
    <row r="52" spans="1:57" x14ac:dyDescent="0.25">
      <c r="A52">
        <v>2</v>
      </c>
      <c r="B52" t="s">
        <v>158</v>
      </c>
      <c r="C52" t="s">
        <v>158</v>
      </c>
      <c r="D52">
        <v>18</v>
      </c>
      <c r="E52" t="s">
        <v>308</v>
      </c>
      <c r="F52" t="s">
        <v>309</v>
      </c>
      <c r="G52">
        <v>45730</v>
      </c>
      <c r="I52">
        <v>0</v>
      </c>
      <c r="K52" t="s">
        <v>160</v>
      </c>
      <c r="L52">
        <v>6</v>
      </c>
      <c r="M52" t="s">
        <v>273</v>
      </c>
      <c r="N52" t="s">
        <v>159</v>
      </c>
      <c r="O52" t="s">
        <v>59</v>
      </c>
      <c r="P52" t="s">
        <v>251</v>
      </c>
      <c r="U52" s="22">
        <v>45730</v>
      </c>
      <c r="V52" s="22">
        <v>45731</v>
      </c>
      <c r="W52">
        <v>2</v>
      </c>
      <c r="AA52">
        <v>0</v>
      </c>
      <c r="AB52">
        <v>0</v>
      </c>
      <c r="AG52">
        <v>20000</v>
      </c>
      <c r="BE52" t="e">
        <f>DashboardTable[[#This Row],[ProjectID]]=#REF!</f>
        <v>#REF!</v>
      </c>
    </row>
    <row r="53" spans="1:57" x14ac:dyDescent="0.25">
      <c r="A53">
        <v>2</v>
      </c>
      <c r="B53" t="s">
        <v>235</v>
      </c>
      <c r="C53" t="s">
        <v>235</v>
      </c>
      <c r="D53">
        <v>20</v>
      </c>
      <c r="E53" t="s">
        <v>310</v>
      </c>
      <c r="G53">
        <v>45732</v>
      </c>
      <c r="I53">
        <v>0</v>
      </c>
      <c r="K53" t="s">
        <v>160</v>
      </c>
      <c r="L53">
        <v>7</v>
      </c>
      <c r="M53" t="s">
        <v>311</v>
      </c>
      <c r="N53" t="s">
        <v>159</v>
      </c>
      <c r="O53" t="s">
        <v>59</v>
      </c>
      <c r="P53" t="s">
        <v>279</v>
      </c>
      <c r="U53" s="22">
        <v>45732</v>
      </c>
      <c r="V53" s="22">
        <v>45732</v>
      </c>
      <c r="W53">
        <v>0</v>
      </c>
      <c r="AA53">
        <v>0</v>
      </c>
      <c r="AB53">
        <v>0</v>
      </c>
      <c r="BE53" t="e">
        <f>DashboardTable[[#This Row],[ProjectID]]=#REF!</f>
        <v>#REF!</v>
      </c>
    </row>
    <row r="54" spans="1:57" x14ac:dyDescent="0.25">
      <c r="A54">
        <v>2</v>
      </c>
      <c r="B54" t="s">
        <v>158</v>
      </c>
      <c r="C54" t="s">
        <v>158</v>
      </c>
      <c r="D54">
        <v>21</v>
      </c>
      <c r="I54">
        <v>0</v>
      </c>
      <c r="K54" t="s">
        <v>160</v>
      </c>
      <c r="L54">
        <v>8</v>
      </c>
      <c r="M54" t="s">
        <v>274</v>
      </c>
      <c r="N54" t="s">
        <v>159</v>
      </c>
      <c r="O54" t="s">
        <v>59</v>
      </c>
      <c r="U54" s="22">
        <v>45729</v>
      </c>
      <c r="V54" s="22">
        <v>45729</v>
      </c>
      <c r="W54">
        <v>1</v>
      </c>
      <c r="AA54">
        <v>0</v>
      </c>
      <c r="AB54">
        <v>0</v>
      </c>
      <c r="BE54" t="e">
        <f>DashboardTable[[#This Row],[ProjectID]]=#REF!</f>
        <v>#REF!</v>
      </c>
    </row>
    <row r="55" spans="1:57" x14ac:dyDescent="0.25">
      <c r="A55">
        <v>2</v>
      </c>
      <c r="B55" t="s">
        <v>158</v>
      </c>
      <c r="C55" t="s">
        <v>158</v>
      </c>
      <c r="D55">
        <v>22</v>
      </c>
      <c r="I55">
        <v>0</v>
      </c>
      <c r="K55" t="s">
        <v>160</v>
      </c>
      <c r="L55">
        <v>9</v>
      </c>
      <c r="M55" t="s">
        <v>324</v>
      </c>
      <c r="N55" t="s">
        <v>159</v>
      </c>
      <c r="O55" t="s">
        <v>59</v>
      </c>
      <c r="U55" s="22">
        <v>45729</v>
      </c>
      <c r="V55" s="22">
        <v>45729</v>
      </c>
      <c r="W55">
        <v>1</v>
      </c>
      <c r="AA55">
        <v>0</v>
      </c>
      <c r="AB55">
        <v>0</v>
      </c>
      <c r="BE55" t="e">
        <f>DashboardTable[[#This Row],[ProjectID]]=#REF!</f>
        <v>#REF!</v>
      </c>
    </row>
    <row r="56" spans="1:57" x14ac:dyDescent="0.25">
      <c r="A56">
        <v>2</v>
      </c>
      <c r="B56" t="s">
        <v>158</v>
      </c>
      <c r="C56" t="s">
        <v>158</v>
      </c>
      <c r="D56">
        <v>23</v>
      </c>
      <c r="I56">
        <v>0</v>
      </c>
      <c r="K56" t="s">
        <v>160</v>
      </c>
      <c r="L56">
        <v>10</v>
      </c>
      <c r="M56" t="s">
        <v>321</v>
      </c>
      <c r="N56" t="s">
        <v>159</v>
      </c>
      <c r="O56" t="s">
        <v>59</v>
      </c>
      <c r="U56" s="22">
        <v>45729</v>
      </c>
      <c r="V56" s="22">
        <v>45729</v>
      </c>
      <c r="W56">
        <v>1</v>
      </c>
      <c r="AA56">
        <v>0</v>
      </c>
      <c r="AB56">
        <v>0</v>
      </c>
      <c r="BE56" t="e">
        <f>DashboardTable[[#This Row],[ProjectID]]=#REF!</f>
        <v>#REF!</v>
      </c>
    </row>
    <row r="57" spans="1:57" x14ac:dyDescent="0.25">
      <c r="A57">
        <v>2</v>
      </c>
      <c r="B57" t="s">
        <v>158</v>
      </c>
      <c r="C57" t="s">
        <v>158</v>
      </c>
      <c r="D57">
        <v>24</v>
      </c>
      <c r="I57">
        <v>0</v>
      </c>
      <c r="K57" t="s">
        <v>160</v>
      </c>
      <c r="L57">
        <v>11</v>
      </c>
      <c r="M57" t="s">
        <v>322</v>
      </c>
      <c r="N57" t="s">
        <v>159</v>
      </c>
      <c r="O57" t="s">
        <v>59</v>
      </c>
      <c r="U57" s="22">
        <v>45729</v>
      </c>
      <c r="V57" s="22">
        <v>45729</v>
      </c>
      <c r="W57">
        <v>1</v>
      </c>
      <c r="AA57">
        <v>0</v>
      </c>
      <c r="AB57">
        <v>0</v>
      </c>
      <c r="BE57" t="e">
        <f>DashboardTable[[#This Row],[ProjectID]]=#REF!</f>
        <v>#REF!</v>
      </c>
    </row>
    <row r="58" spans="1:57" x14ac:dyDescent="0.25">
      <c r="A58">
        <v>2</v>
      </c>
      <c r="B58" t="s">
        <v>158</v>
      </c>
      <c r="C58" t="s">
        <v>158</v>
      </c>
      <c r="D58">
        <v>25</v>
      </c>
      <c r="I58">
        <v>0</v>
      </c>
      <c r="K58" t="s">
        <v>160</v>
      </c>
      <c r="L58">
        <v>12</v>
      </c>
      <c r="M58" t="s">
        <v>274</v>
      </c>
      <c r="N58" t="s">
        <v>159</v>
      </c>
      <c r="O58" t="s">
        <v>59</v>
      </c>
      <c r="U58" s="22">
        <v>45729</v>
      </c>
      <c r="V58" s="22">
        <v>45729</v>
      </c>
      <c r="W58">
        <v>1</v>
      </c>
      <c r="AA58">
        <v>0</v>
      </c>
      <c r="AB58">
        <v>0</v>
      </c>
      <c r="BE58" t="e">
        <f>DashboardTable[[#This Row],[ProjectID]]=#REF!</f>
        <v>#REF!</v>
      </c>
    </row>
    <row r="59" spans="1:57" x14ac:dyDescent="0.25">
      <c r="A59">
        <v>2</v>
      </c>
      <c r="B59" t="s">
        <v>158</v>
      </c>
      <c r="C59" t="s">
        <v>158</v>
      </c>
      <c r="D59">
        <v>26</v>
      </c>
      <c r="I59">
        <v>0</v>
      </c>
      <c r="K59" t="s">
        <v>160</v>
      </c>
      <c r="L59">
        <v>13</v>
      </c>
      <c r="M59" t="s">
        <v>325</v>
      </c>
      <c r="N59" t="s">
        <v>159</v>
      </c>
      <c r="O59" t="s">
        <v>59</v>
      </c>
      <c r="U59" s="22">
        <v>45729</v>
      </c>
      <c r="V59" s="22">
        <v>45729</v>
      </c>
      <c r="W59">
        <v>1</v>
      </c>
      <c r="AA59">
        <v>0</v>
      </c>
      <c r="AB59">
        <v>0</v>
      </c>
      <c r="BE59" t="e">
        <f>DashboardTable[[#This Row],[ProjectID]]=#REF!</f>
        <v>#REF!</v>
      </c>
    </row>
    <row r="60" spans="1:57" x14ac:dyDescent="0.25">
      <c r="A60">
        <v>2</v>
      </c>
      <c r="B60" t="s">
        <v>158</v>
      </c>
      <c r="C60" t="s">
        <v>158</v>
      </c>
      <c r="D60">
        <v>27</v>
      </c>
      <c r="I60">
        <v>0</v>
      </c>
      <c r="K60" t="s">
        <v>160</v>
      </c>
      <c r="L60">
        <v>14</v>
      </c>
      <c r="M60" t="s">
        <v>248</v>
      </c>
      <c r="N60" t="s">
        <v>159</v>
      </c>
      <c r="O60" t="s">
        <v>59</v>
      </c>
      <c r="U60" s="22">
        <v>45729</v>
      </c>
      <c r="V60" s="22">
        <v>45729</v>
      </c>
      <c r="W60">
        <v>1</v>
      </c>
      <c r="AA60">
        <v>0</v>
      </c>
      <c r="AB60">
        <v>0</v>
      </c>
      <c r="BE60" t="e">
        <f>DashboardTable[[#This Row],[ProjectID]]=#REF!</f>
        <v>#REF!</v>
      </c>
    </row>
    <row r="61" spans="1:57" x14ac:dyDescent="0.25">
      <c r="A61">
        <v>2</v>
      </c>
      <c r="B61" t="s">
        <v>158</v>
      </c>
      <c r="C61" t="s">
        <v>158</v>
      </c>
      <c r="D61">
        <v>28</v>
      </c>
      <c r="I61">
        <v>0</v>
      </c>
      <c r="K61" t="s">
        <v>160</v>
      </c>
      <c r="L61">
        <v>15</v>
      </c>
      <c r="M61" t="s">
        <v>323</v>
      </c>
      <c r="N61" t="s">
        <v>159</v>
      </c>
      <c r="O61" t="s">
        <v>59</v>
      </c>
      <c r="U61" s="22">
        <v>45729</v>
      </c>
      <c r="V61" s="22">
        <v>45729</v>
      </c>
      <c r="W61">
        <v>1</v>
      </c>
      <c r="AA61">
        <v>0</v>
      </c>
      <c r="AB61">
        <v>0</v>
      </c>
      <c r="BE61" t="e">
        <f>DashboardTable[[#This Row],[ProjectID]]=#REF!</f>
        <v>#REF!</v>
      </c>
    </row>
    <row r="62" spans="1:57" x14ac:dyDescent="0.25">
      <c r="A62">
        <v>3</v>
      </c>
      <c r="B62" t="s">
        <v>158</v>
      </c>
      <c r="C62" t="s">
        <v>158</v>
      </c>
      <c r="D62">
        <v>1</v>
      </c>
      <c r="I62">
        <v>0</v>
      </c>
      <c r="K62" t="s">
        <v>160</v>
      </c>
      <c r="L62">
        <v>1</v>
      </c>
      <c r="M62" t="s">
        <v>313</v>
      </c>
      <c r="N62" t="s">
        <v>159</v>
      </c>
      <c r="O62" t="s">
        <v>59</v>
      </c>
      <c r="U62" s="111">
        <v>45727.375</v>
      </c>
      <c r="V62" s="111">
        <v>45727.625</v>
      </c>
      <c r="W62">
        <v>6</v>
      </c>
      <c r="AA62">
        <v>0</v>
      </c>
      <c r="AB62">
        <v>0</v>
      </c>
      <c r="BE62" t="e">
        <f>DashboardTable[[#This Row],[ProjectID]]=#REF!</f>
        <v>#REF!</v>
      </c>
    </row>
    <row r="63" spans="1:57" x14ac:dyDescent="0.25">
      <c r="A63">
        <v>3</v>
      </c>
      <c r="B63" t="s">
        <v>158</v>
      </c>
      <c r="C63" t="s">
        <v>158</v>
      </c>
      <c r="D63">
        <v>5</v>
      </c>
      <c r="I63">
        <v>0</v>
      </c>
      <c r="K63" t="s">
        <v>160</v>
      </c>
      <c r="L63">
        <v>2</v>
      </c>
      <c r="M63" t="s">
        <v>313</v>
      </c>
      <c r="N63" t="s">
        <v>159</v>
      </c>
      <c r="O63" t="s">
        <v>59</v>
      </c>
      <c r="U63" s="111">
        <v>45727.375</v>
      </c>
      <c r="V63" s="111">
        <v>45727.625</v>
      </c>
      <c r="W63">
        <v>6</v>
      </c>
      <c r="AA63">
        <v>0</v>
      </c>
      <c r="AB63">
        <v>0</v>
      </c>
      <c r="BE63" t="e">
        <f>DashboardTable[[#This Row],[ProjectID]]=#REF!</f>
        <v>#REF!</v>
      </c>
    </row>
    <row r="64" spans="1:57" x14ac:dyDescent="0.25">
      <c r="A64">
        <v>3</v>
      </c>
      <c r="B64" t="s">
        <v>158</v>
      </c>
      <c r="C64" t="s">
        <v>158</v>
      </c>
      <c r="D64">
        <v>4</v>
      </c>
      <c r="I64">
        <v>0</v>
      </c>
      <c r="K64" t="s">
        <v>160</v>
      </c>
      <c r="L64">
        <v>3</v>
      </c>
      <c r="M64" t="s">
        <v>313</v>
      </c>
      <c r="N64" t="s">
        <v>159</v>
      </c>
      <c r="O64" t="s">
        <v>59</v>
      </c>
      <c r="U64" s="111">
        <v>45727.375</v>
      </c>
      <c r="V64" s="111">
        <v>45727.625</v>
      </c>
      <c r="W64">
        <v>6</v>
      </c>
      <c r="AA64">
        <v>0</v>
      </c>
      <c r="AB64">
        <v>0</v>
      </c>
      <c r="BE64" t="e">
        <f>DashboardTable[[#This Row],[ProjectID]]=#REF!</f>
        <v>#REF!</v>
      </c>
    </row>
    <row r="65" spans="1:57" x14ac:dyDescent="0.25">
      <c r="A65">
        <v>3</v>
      </c>
      <c r="B65" t="s">
        <v>158</v>
      </c>
      <c r="C65" t="s">
        <v>158</v>
      </c>
      <c r="D65">
        <v>3</v>
      </c>
      <c r="I65">
        <v>0</v>
      </c>
      <c r="K65" t="s">
        <v>160</v>
      </c>
      <c r="L65">
        <v>4</v>
      </c>
      <c r="M65" t="s">
        <v>313</v>
      </c>
      <c r="N65" t="s">
        <v>159</v>
      </c>
      <c r="O65" t="s">
        <v>59</v>
      </c>
      <c r="U65" s="111">
        <v>45728.416666666664</v>
      </c>
      <c r="V65" s="111">
        <v>45728.666666666664</v>
      </c>
      <c r="W65">
        <v>6</v>
      </c>
      <c r="AA65">
        <v>0</v>
      </c>
      <c r="AB65">
        <v>0</v>
      </c>
      <c r="BE65" t="e">
        <f>DashboardTable[[#This Row],[ProjectID]]=#REF!</f>
        <v>#REF!</v>
      </c>
    </row>
    <row r="66" spans="1:57" x14ac:dyDescent="0.25">
      <c r="A66">
        <v>3</v>
      </c>
      <c r="B66" t="s">
        <v>158</v>
      </c>
      <c r="C66" t="s">
        <v>158</v>
      </c>
      <c r="D66">
        <v>2</v>
      </c>
      <c r="I66">
        <v>0</v>
      </c>
      <c r="K66" t="s">
        <v>160</v>
      </c>
      <c r="L66">
        <v>5</v>
      </c>
      <c r="M66" t="s">
        <v>313</v>
      </c>
      <c r="N66" t="s">
        <v>159</v>
      </c>
      <c r="O66" t="s">
        <v>59</v>
      </c>
      <c r="U66" s="111">
        <v>45727.375</v>
      </c>
      <c r="V66" s="111">
        <v>45727.625</v>
      </c>
      <c r="W66">
        <v>6</v>
      </c>
      <c r="AA66">
        <v>0</v>
      </c>
      <c r="AB66">
        <v>0</v>
      </c>
      <c r="BE66" t="e">
        <f>DashboardTable[[#This Row],[ProjectID]]=#REF!</f>
        <v>#REF!</v>
      </c>
    </row>
    <row r="67" spans="1:57" x14ac:dyDescent="0.25">
      <c r="A67">
        <v>3</v>
      </c>
      <c r="B67" t="s">
        <v>235</v>
      </c>
      <c r="C67" t="s">
        <v>235</v>
      </c>
      <c r="D67">
        <v>6</v>
      </c>
      <c r="I67">
        <v>0</v>
      </c>
      <c r="K67" t="s">
        <v>160</v>
      </c>
      <c r="L67">
        <v>6</v>
      </c>
      <c r="M67" t="s">
        <v>248</v>
      </c>
      <c r="N67" t="s">
        <v>159</v>
      </c>
      <c r="O67" t="s">
        <v>59</v>
      </c>
      <c r="U67" s="111">
        <v>45727.666666666664</v>
      </c>
      <c r="V67" s="111">
        <v>45727.666666666664</v>
      </c>
      <c r="W67">
        <v>0</v>
      </c>
      <c r="AA67">
        <v>0</v>
      </c>
      <c r="AB67">
        <v>0</v>
      </c>
      <c r="BE67" t="e">
        <f>DashboardTable[[#This Row],[ProjectID]]=#REF!</f>
        <v>#REF!</v>
      </c>
    </row>
    <row r="68" spans="1:57" x14ac:dyDescent="0.25">
      <c r="A68">
        <v>4</v>
      </c>
      <c r="B68" t="s">
        <v>158</v>
      </c>
      <c r="C68" t="s">
        <v>158</v>
      </c>
      <c r="D68">
        <v>1</v>
      </c>
      <c r="I68">
        <v>0</v>
      </c>
      <c r="K68" t="s">
        <v>160</v>
      </c>
      <c r="L68">
        <v>1</v>
      </c>
      <c r="M68" t="s">
        <v>315</v>
      </c>
      <c r="N68" t="s">
        <v>159</v>
      </c>
      <c r="O68" t="s">
        <v>59</v>
      </c>
      <c r="U68" s="22">
        <v>45728</v>
      </c>
      <c r="V68" s="22">
        <v>45734</v>
      </c>
      <c r="W68">
        <v>5</v>
      </c>
      <c r="AA68">
        <v>0</v>
      </c>
      <c r="AB68">
        <v>0</v>
      </c>
      <c r="BE68" t="e">
        <f>DashboardTable[[#This Row],[ProjectID]]=#REF!</f>
        <v>#REF!</v>
      </c>
    </row>
    <row r="69" spans="1:57" x14ac:dyDescent="0.25">
      <c r="A69">
        <v>4</v>
      </c>
      <c r="B69" t="s">
        <v>158</v>
      </c>
      <c r="C69" t="s">
        <v>158</v>
      </c>
      <c r="D69">
        <v>5</v>
      </c>
      <c r="I69">
        <v>0</v>
      </c>
      <c r="K69" t="s">
        <v>160</v>
      </c>
      <c r="L69">
        <v>2</v>
      </c>
      <c r="M69" t="s">
        <v>315</v>
      </c>
      <c r="N69" t="s">
        <v>159</v>
      </c>
      <c r="O69" t="s">
        <v>59</v>
      </c>
      <c r="U69" s="22">
        <v>45735</v>
      </c>
      <c r="V69" s="22">
        <v>45741</v>
      </c>
      <c r="W69">
        <v>5</v>
      </c>
      <c r="AA69">
        <v>0</v>
      </c>
      <c r="AB69">
        <v>0</v>
      </c>
      <c r="BE69" t="e">
        <f>DashboardTable[[#This Row],[ProjectID]]=#REF!</f>
        <v>#REF!</v>
      </c>
    </row>
    <row r="70" spans="1:57" x14ac:dyDescent="0.25">
      <c r="A70">
        <v>4</v>
      </c>
      <c r="B70" t="s">
        <v>235</v>
      </c>
      <c r="C70" t="s">
        <v>235</v>
      </c>
      <c r="D70">
        <v>6</v>
      </c>
      <c r="I70">
        <v>0</v>
      </c>
      <c r="K70" t="s">
        <v>160</v>
      </c>
      <c r="L70">
        <v>3</v>
      </c>
      <c r="M70" t="s">
        <v>248</v>
      </c>
      <c r="N70" t="s">
        <v>159</v>
      </c>
      <c r="O70" t="s">
        <v>59</v>
      </c>
      <c r="U70" s="22">
        <v>45728</v>
      </c>
      <c r="V70" s="22">
        <v>45728</v>
      </c>
      <c r="W70">
        <v>0</v>
      </c>
      <c r="AA70">
        <v>0</v>
      </c>
      <c r="AB70">
        <v>0</v>
      </c>
      <c r="BE70" t="e">
        <f>DashboardTable[[#This Row],[ProjectID]]=#REF!</f>
        <v>#REF!</v>
      </c>
    </row>
    <row r="71" spans="1:57" x14ac:dyDescent="0.25">
      <c r="A71">
        <v>4</v>
      </c>
      <c r="B71" t="s">
        <v>158</v>
      </c>
      <c r="C71" t="s">
        <v>158</v>
      </c>
      <c r="D71">
        <v>4</v>
      </c>
      <c r="I71">
        <v>0</v>
      </c>
      <c r="K71" t="s">
        <v>160</v>
      </c>
      <c r="L71">
        <v>4</v>
      </c>
      <c r="M71" t="s">
        <v>315</v>
      </c>
      <c r="N71" t="s">
        <v>266</v>
      </c>
      <c r="O71" t="s">
        <v>58</v>
      </c>
      <c r="U71" s="22">
        <v>45742</v>
      </c>
      <c r="V71" s="22">
        <v>45748</v>
      </c>
      <c r="W71">
        <v>5</v>
      </c>
      <c r="AA71">
        <v>0</v>
      </c>
      <c r="AB71">
        <v>0</v>
      </c>
      <c r="BE71" t="e">
        <f>DashboardTable[[#This Row],[ProjectID]]=#REF!</f>
        <v>#REF!</v>
      </c>
    </row>
    <row r="72" spans="1:57" x14ac:dyDescent="0.25">
      <c r="A72">
        <v>4</v>
      </c>
      <c r="B72" t="s">
        <v>158</v>
      </c>
      <c r="C72" t="s">
        <v>158</v>
      </c>
      <c r="D72">
        <v>3</v>
      </c>
      <c r="I72">
        <v>0</v>
      </c>
      <c r="K72" t="s">
        <v>160</v>
      </c>
      <c r="L72">
        <v>5</v>
      </c>
      <c r="M72" t="s">
        <v>315</v>
      </c>
      <c r="N72" t="s">
        <v>159</v>
      </c>
      <c r="O72" t="s">
        <v>58</v>
      </c>
      <c r="U72" s="22">
        <v>45749</v>
      </c>
      <c r="V72" s="22">
        <v>45755</v>
      </c>
      <c r="W72">
        <v>5</v>
      </c>
      <c r="AA72">
        <v>0</v>
      </c>
      <c r="AB72">
        <v>0</v>
      </c>
      <c r="BE72" t="e">
        <f>DashboardTable[[#This Row],[ProjectID]]=#REF!</f>
        <v>#REF!</v>
      </c>
    </row>
    <row r="73" spans="1:57" x14ac:dyDescent="0.25">
      <c r="A73">
        <v>4</v>
      </c>
      <c r="B73" t="s">
        <v>158</v>
      </c>
      <c r="C73" t="s">
        <v>158</v>
      </c>
      <c r="D73">
        <v>2</v>
      </c>
      <c r="I73">
        <v>0</v>
      </c>
      <c r="K73" t="s">
        <v>160</v>
      </c>
      <c r="L73">
        <v>6</v>
      </c>
      <c r="M73" t="s">
        <v>315</v>
      </c>
      <c r="N73" t="s">
        <v>259</v>
      </c>
      <c r="O73" t="s">
        <v>58</v>
      </c>
      <c r="U73" s="22">
        <v>45756</v>
      </c>
      <c r="V73" s="22">
        <v>45762</v>
      </c>
      <c r="W73">
        <v>5</v>
      </c>
      <c r="AA73">
        <v>0</v>
      </c>
      <c r="AB73">
        <v>0</v>
      </c>
      <c r="BE73" t="e">
        <f>DashboardTable[[#This Row],[ProjectID]]=#REF!</f>
        <v>#REF!</v>
      </c>
    </row>
    <row r="74" spans="1:57" x14ac:dyDescent="0.25">
      <c r="A74">
        <v>5</v>
      </c>
      <c r="B74" t="s">
        <v>235</v>
      </c>
      <c r="C74" t="s">
        <v>235</v>
      </c>
      <c r="D74">
        <v>6</v>
      </c>
      <c r="I74">
        <v>0</v>
      </c>
      <c r="K74" t="s">
        <v>160</v>
      </c>
      <c r="L74">
        <v>1</v>
      </c>
      <c r="M74" t="s">
        <v>316</v>
      </c>
      <c r="N74" t="s">
        <v>159</v>
      </c>
      <c r="O74" t="s">
        <v>56</v>
      </c>
      <c r="U74" s="22">
        <v>45712</v>
      </c>
      <c r="V74" s="22">
        <v>45712</v>
      </c>
      <c r="W74">
        <v>0</v>
      </c>
      <c r="AA74">
        <v>100</v>
      </c>
      <c r="AB74">
        <v>1</v>
      </c>
      <c r="BE74" t="e">
        <f>DashboardTable[[#This Row],[ProjectID]]=#REF!</f>
        <v>#REF!</v>
      </c>
    </row>
    <row r="75" spans="1:57" x14ac:dyDescent="0.25">
      <c r="A75">
        <v>5</v>
      </c>
      <c r="B75" t="s">
        <v>235</v>
      </c>
      <c r="C75" t="s">
        <v>235</v>
      </c>
      <c r="D75">
        <v>7</v>
      </c>
      <c r="I75">
        <v>0</v>
      </c>
      <c r="K75" t="s">
        <v>160</v>
      </c>
      <c r="L75">
        <v>2</v>
      </c>
      <c r="M75" t="s">
        <v>317</v>
      </c>
      <c r="N75" t="s">
        <v>159</v>
      </c>
      <c r="O75" t="s">
        <v>56</v>
      </c>
      <c r="U75" s="22">
        <v>45715</v>
      </c>
      <c r="V75" s="22">
        <v>45715</v>
      </c>
      <c r="W75">
        <v>0</v>
      </c>
      <c r="AA75">
        <v>100</v>
      </c>
      <c r="AB75">
        <v>1</v>
      </c>
      <c r="BE75" t="e">
        <f>DashboardTable[[#This Row],[ProjectID]]=#REF!</f>
        <v>#REF!</v>
      </c>
    </row>
    <row r="76" spans="1:57" x14ac:dyDescent="0.25">
      <c r="A76">
        <v>5</v>
      </c>
      <c r="B76" t="s">
        <v>235</v>
      </c>
      <c r="C76" t="s">
        <v>235</v>
      </c>
      <c r="D76">
        <v>8</v>
      </c>
      <c r="I76">
        <v>0</v>
      </c>
      <c r="K76" t="s">
        <v>160</v>
      </c>
      <c r="L76">
        <v>3</v>
      </c>
      <c r="M76" t="s">
        <v>318</v>
      </c>
      <c r="N76" t="s">
        <v>159</v>
      </c>
      <c r="O76" t="s">
        <v>59</v>
      </c>
      <c r="U76" s="22">
        <v>45719</v>
      </c>
      <c r="V76" s="22">
        <v>45719</v>
      </c>
      <c r="W76">
        <v>0</v>
      </c>
      <c r="AA76">
        <v>0</v>
      </c>
      <c r="AB76">
        <v>0</v>
      </c>
      <c r="BE76" t="e">
        <f>DashboardTable[[#This Row],[ProjectID]]=#REF!</f>
        <v>#REF!</v>
      </c>
    </row>
    <row r="77" spans="1:57" x14ac:dyDescent="0.25">
      <c r="A77">
        <v>5</v>
      </c>
      <c r="B77" t="s">
        <v>235</v>
      </c>
      <c r="C77" t="s">
        <v>235</v>
      </c>
      <c r="D77">
        <v>9</v>
      </c>
      <c r="I77">
        <v>0</v>
      </c>
      <c r="K77" t="s">
        <v>160</v>
      </c>
      <c r="L77">
        <v>4</v>
      </c>
      <c r="M77" t="s">
        <v>319</v>
      </c>
      <c r="N77" t="s">
        <v>159</v>
      </c>
      <c r="O77" t="s">
        <v>59</v>
      </c>
      <c r="U77" s="22">
        <v>45722</v>
      </c>
      <c r="V77" s="22">
        <v>45722</v>
      </c>
      <c r="W77">
        <v>0</v>
      </c>
      <c r="AA77">
        <v>0</v>
      </c>
      <c r="AB77">
        <v>0</v>
      </c>
      <c r="BE77" t="e">
        <f>DashboardTable[[#This Row],[ProjectID]]=#REF!</f>
        <v>#REF!</v>
      </c>
    </row>
    <row r="78" spans="1:57" x14ac:dyDescent="0.25">
      <c r="A78">
        <v>5</v>
      </c>
      <c r="B78" t="s">
        <v>235</v>
      </c>
      <c r="C78" t="s">
        <v>235</v>
      </c>
      <c r="D78">
        <v>10</v>
      </c>
      <c r="I78">
        <v>0</v>
      </c>
      <c r="K78" t="s">
        <v>160</v>
      </c>
      <c r="L78">
        <v>5</v>
      </c>
      <c r="M78" t="s">
        <v>320</v>
      </c>
      <c r="N78" t="s">
        <v>159</v>
      </c>
      <c r="O78" t="s">
        <v>59</v>
      </c>
      <c r="U78" s="22">
        <v>45726</v>
      </c>
      <c r="V78" s="22">
        <v>45726</v>
      </c>
      <c r="W78">
        <v>0</v>
      </c>
      <c r="AA78">
        <v>0</v>
      </c>
      <c r="AB78">
        <v>0</v>
      </c>
      <c r="BE78" t="e">
        <f>DashboardTable[[#This Row],[ProjectID]]=#REF!</f>
        <v>#REF!</v>
      </c>
    </row>
    <row r="79" spans="1:57" x14ac:dyDescent="0.25">
      <c r="A79">
        <v>6</v>
      </c>
      <c r="B79" t="s">
        <v>236</v>
      </c>
      <c r="C79" t="s">
        <v>158</v>
      </c>
      <c r="D79">
        <v>1</v>
      </c>
      <c r="I79">
        <v>0</v>
      </c>
      <c r="K79" t="s">
        <v>160</v>
      </c>
      <c r="L79">
        <v>1</v>
      </c>
      <c r="M79" t="s">
        <v>257</v>
      </c>
      <c r="N79" t="s">
        <v>159</v>
      </c>
      <c r="O79" t="s">
        <v>56</v>
      </c>
      <c r="P79" t="s">
        <v>251</v>
      </c>
      <c r="U79" s="22">
        <v>45706</v>
      </c>
      <c r="V79" s="22">
        <v>45714</v>
      </c>
      <c r="W79">
        <v>8</v>
      </c>
      <c r="AA79">
        <v>100</v>
      </c>
      <c r="AB79">
        <v>1</v>
      </c>
      <c r="AF79">
        <v>300000</v>
      </c>
      <c r="AG79">
        <v>2700</v>
      </c>
      <c r="AH79">
        <v>128600</v>
      </c>
      <c r="BE79" t="e">
        <f>DashboardTable[[#This Row],[ProjectID]]=#REF!</f>
        <v>#REF!</v>
      </c>
    </row>
    <row r="80" spans="1:57" x14ac:dyDescent="0.25">
      <c r="A80">
        <v>6</v>
      </c>
      <c r="B80" t="s">
        <v>238</v>
      </c>
      <c r="C80" t="s">
        <v>158</v>
      </c>
      <c r="D80">
        <v>2</v>
      </c>
      <c r="I80">
        <v>1</v>
      </c>
      <c r="K80" t="s">
        <v>160</v>
      </c>
      <c r="L80">
        <v>1.1000000000000001</v>
      </c>
      <c r="M80" t="s">
        <v>258</v>
      </c>
      <c r="N80" t="s">
        <v>159</v>
      </c>
      <c r="O80" t="s">
        <v>56</v>
      </c>
      <c r="P80" t="s">
        <v>251</v>
      </c>
      <c r="U80" s="22">
        <v>45706</v>
      </c>
      <c r="V80" s="22">
        <v>45710</v>
      </c>
      <c r="W80">
        <v>5</v>
      </c>
      <c r="AA80">
        <v>100</v>
      </c>
      <c r="AB80">
        <v>1</v>
      </c>
      <c r="AG80">
        <v>2700</v>
      </c>
      <c r="BE80" t="e">
        <f>DashboardTable[[#This Row],[ProjectID]]=#REF!</f>
        <v>#REF!</v>
      </c>
    </row>
    <row r="81" spans="1:57" x14ac:dyDescent="0.25">
      <c r="A81">
        <v>6</v>
      </c>
      <c r="B81" t="s">
        <v>237</v>
      </c>
      <c r="C81" t="s">
        <v>158</v>
      </c>
      <c r="D81">
        <v>4</v>
      </c>
      <c r="F81" t="s">
        <v>260</v>
      </c>
      <c r="I81">
        <v>2</v>
      </c>
      <c r="K81" t="s">
        <v>160</v>
      </c>
      <c r="L81" t="s">
        <v>261</v>
      </c>
      <c r="M81" t="s">
        <v>262</v>
      </c>
      <c r="N81" t="s">
        <v>159</v>
      </c>
      <c r="O81" t="s">
        <v>56</v>
      </c>
      <c r="P81" t="s">
        <v>278</v>
      </c>
      <c r="U81" s="22">
        <v>45706</v>
      </c>
      <c r="V81" s="22">
        <v>45710</v>
      </c>
      <c r="W81">
        <v>5</v>
      </c>
      <c r="AA81">
        <v>100</v>
      </c>
      <c r="AB81">
        <v>1</v>
      </c>
      <c r="AG81">
        <v>2700</v>
      </c>
      <c r="BE81" t="e">
        <f>DashboardTable[[#This Row],[ProjectID]]=#REF!</f>
        <v>#REF!</v>
      </c>
    </row>
    <row r="82" spans="1:57" x14ac:dyDescent="0.25">
      <c r="A82">
        <v>6</v>
      </c>
      <c r="B82" t="s">
        <v>237</v>
      </c>
      <c r="C82" t="s">
        <v>158</v>
      </c>
      <c r="D82">
        <v>3</v>
      </c>
      <c r="E82" t="s">
        <v>263</v>
      </c>
      <c r="F82" t="s">
        <v>280</v>
      </c>
      <c r="G82">
        <v>45711</v>
      </c>
      <c r="I82">
        <v>1</v>
      </c>
      <c r="K82" t="s">
        <v>160</v>
      </c>
      <c r="L82">
        <v>1.2</v>
      </c>
      <c r="M82" t="s">
        <v>264</v>
      </c>
      <c r="N82" t="s">
        <v>159</v>
      </c>
      <c r="O82" t="s">
        <v>56</v>
      </c>
      <c r="P82" t="s">
        <v>251</v>
      </c>
      <c r="U82" s="22">
        <v>45711</v>
      </c>
      <c r="V82" s="22">
        <v>45713</v>
      </c>
      <c r="W82">
        <v>3</v>
      </c>
      <c r="AA82">
        <v>100</v>
      </c>
      <c r="AB82">
        <v>1</v>
      </c>
      <c r="BE82" t="e">
        <f>DashboardTable[[#This Row],[ProjectID]]=#REF!</f>
        <v>#REF!</v>
      </c>
    </row>
    <row r="83" spans="1:57" x14ac:dyDescent="0.25">
      <c r="A83">
        <v>6</v>
      </c>
      <c r="B83" t="s">
        <v>235</v>
      </c>
      <c r="C83" t="s">
        <v>235</v>
      </c>
      <c r="D83">
        <v>6</v>
      </c>
      <c r="E83" t="s">
        <v>281</v>
      </c>
      <c r="F83" t="s">
        <v>282</v>
      </c>
      <c r="G83">
        <v>45714</v>
      </c>
      <c r="I83">
        <v>1</v>
      </c>
      <c r="K83" t="s">
        <v>160</v>
      </c>
      <c r="L83">
        <v>1.3</v>
      </c>
      <c r="M83" t="s">
        <v>265</v>
      </c>
      <c r="N83" t="s">
        <v>266</v>
      </c>
      <c r="O83" t="s">
        <v>56</v>
      </c>
      <c r="P83" t="s">
        <v>251</v>
      </c>
      <c r="U83" s="22">
        <v>45714</v>
      </c>
      <c r="V83" s="22">
        <v>45714</v>
      </c>
      <c r="W83">
        <v>0</v>
      </c>
      <c r="AA83">
        <v>100</v>
      </c>
      <c r="AB83">
        <v>1</v>
      </c>
      <c r="AF83">
        <v>300000</v>
      </c>
      <c r="AH83">
        <v>128600</v>
      </c>
      <c r="BE83" t="e">
        <f>DashboardTable[[#This Row],[ProjectID]]=#REF!</f>
        <v>#REF!</v>
      </c>
    </row>
    <row r="84" spans="1:57" x14ac:dyDescent="0.25">
      <c r="A84">
        <v>6</v>
      </c>
      <c r="B84" t="s">
        <v>236</v>
      </c>
      <c r="C84" t="s">
        <v>158</v>
      </c>
      <c r="D84">
        <v>7</v>
      </c>
      <c r="I84">
        <v>0</v>
      </c>
      <c r="K84" t="s">
        <v>160</v>
      </c>
      <c r="L84">
        <v>2</v>
      </c>
      <c r="M84" t="s">
        <v>267</v>
      </c>
      <c r="N84" t="s">
        <v>159</v>
      </c>
      <c r="O84" t="s">
        <v>59</v>
      </c>
      <c r="P84" t="s">
        <v>251</v>
      </c>
      <c r="U84" s="22">
        <v>45715</v>
      </c>
      <c r="V84" s="22">
        <v>45728</v>
      </c>
      <c r="W84">
        <v>23</v>
      </c>
      <c r="AA84">
        <v>0</v>
      </c>
      <c r="AB84">
        <v>0.66666666666666652</v>
      </c>
      <c r="AF84">
        <v>25000</v>
      </c>
      <c r="AG84">
        <v>201800</v>
      </c>
      <c r="AH84">
        <v>42500</v>
      </c>
      <c r="BE84" t="e">
        <f>DashboardTable[[#This Row],[ProjectID]]=#REF!</f>
        <v>#REF!</v>
      </c>
    </row>
    <row r="85" spans="1:57" x14ac:dyDescent="0.25">
      <c r="A85">
        <v>6</v>
      </c>
      <c r="B85" t="s">
        <v>238</v>
      </c>
      <c r="C85" t="s">
        <v>158</v>
      </c>
      <c r="D85">
        <v>8</v>
      </c>
      <c r="I85">
        <v>1</v>
      </c>
      <c r="K85" t="s">
        <v>160</v>
      </c>
      <c r="L85">
        <v>2.1</v>
      </c>
      <c r="M85" t="s">
        <v>268</v>
      </c>
      <c r="N85" t="s">
        <v>159</v>
      </c>
      <c r="O85" t="s">
        <v>56</v>
      </c>
      <c r="P85" t="s">
        <v>252</v>
      </c>
      <c r="U85" s="22">
        <v>45715</v>
      </c>
      <c r="V85" s="22">
        <v>45723</v>
      </c>
      <c r="W85">
        <v>14</v>
      </c>
      <c r="AA85">
        <v>100</v>
      </c>
      <c r="AB85">
        <v>1</v>
      </c>
      <c r="AF85">
        <v>25000</v>
      </c>
      <c r="AG85">
        <v>73800</v>
      </c>
      <c r="AH85">
        <v>42500</v>
      </c>
      <c r="BE85" t="e">
        <f>DashboardTable[[#This Row],[ProjectID]]=#REF!</f>
        <v>#REF!</v>
      </c>
    </row>
    <row r="86" spans="1:57" x14ac:dyDescent="0.25">
      <c r="A86">
        <v>6</v>
      </c>
      <c r="B86" t="s">
        <v>237</v>
      </c>
      <c r="C86" t="s">
        <v>158</v>
      </c>
      <c r="D86">
        <v>9</v>
      </c>
      <c r="E86" t="s">
        <v>283</v>
      </c>
      <c r="F86" t="s">
        <v>284</v>
      </c>
      <c r="G86">
        <v>45715</v>
      </c>
      <c r="I86">
        <v>2</v>
      </c>
      <c r="K86" t="s">
        <v>160</v>
      </c>
      <c r="L86" t="s">
        <v>247</v>
      </c>
      <c r="M86" t="s">
        <v>285</v>
      </c>
      <c r="N86" t="s">
        <v>159</v>
      </c>
      <c r="O86" t="s">
        <v>56</v>
      </c>
      <c r="P86" t="s">
        <v>252</v>
      </c>
      <c r="U86" s="22">
        <v>45715</v>
      </c>
      <c r="V86" s="22">
        <v>45718</v>
      </c>
      <c r="W86">
        <v>4</v>
      </c>
      <c r="AA86">
        <v>100</v>
      </c>
      <c r="AB86">
        <v>1</v>
      </c>
      <c r="AF86">
        <v>25000</v>
      </c>
      <c r="AG86">
        <v>35000</v>
      </c>
      <c r="AH86">
        <v>42500</v>
      </c>
      <c r="BE86" t="e">
        <f>DashboardTable[[#This Row],[ProjectID]]=#REF!</f>
        <v>#REF!</v>
      </c>
    </row>
    <row r="87" spans="1:57" x14ac:dyDescent="0.25">
      <c r="A87">
        <v>6</v>
      </c>
      <c r="B87" t="s">
        <v>237</v>
      </c>
      <c r="C87" t="s">
        <v>158</v>
      </c>
      <c r="D87">
        <v>10</v>
      </c>
      <c r="E87" t="s">
        <v>286</v>
      </c>
      <c r="F87" t="s">
        <v>287</v>
      </c>
      <c r="G87">
        <v>45717</v>
      </c>
      <c r="I87">
        <v>2</v>
      </c>
      <c r="K87" t="s">
        <v>160</v>
      </c>
      <c r="L87" t="s">
        <v>288</v>
      </c>
      <c r="M87" t="s">
        <v>289</v>
      </c>
      <c r="N87" t="s">
        <v>159</v>
      </c>
      <c r="O87" t="s">
        <v>56</v>
      </c>
      <c r="P87" t="s">
        <v>253</v>
      </c>
      <c r="U87" s="22">
        <v>45717</v>
      </c>
      <c r="V87" s="22">
        <v>45723</v>
      </c>
      <c r="W87">
        <v>6</v>
      </c>
      <c r="AA87">
        <v>100</v>
      </c>
      <c r="AB87">
        <v>1</v>
      </c>
      <c r="AG87">
        <v>35000</v>
      </c>
      <c r="BE87" t="e">
        <f>DashboardTable[[#This Row],[ProjectID]]=#REF!</f>
        <v>#REF!</v>
      </c>
    </row>
    <row r="88" spans="1:57" x14ac:dyDescent="0.25">
      <c r="A88">
        <v>6</v>
      </c>
      <c r="B88" t="s">
        <v>237</v>
      </c>
      <c r="C88" t="s">
        <v>158</v>
      </c>
      <c r="D88">
        <v>11</v>
      </c>
      <c r="E88" t="s">
        <v>290</v>
      </c>
      <c r="F88" t="s">
        <v>291</v>
      </c>
      <c r="G88">
        <v>45717</v>
      </c>
      <c r="I88">
        <v>2</v>
      </c>
      <c r="K88" t="s">
        <v>160</v>
      </c>
      <c r="L88" t="s">
        <v>292</v>
      </c>
      <c r="M88" t="s">
        <v>269</v>
      </c>
      <c r="N88" t="s">
        <v>159</v>
      </c>
      <c r="O88" t="s">
        <v>56</v>
      </c>
      <c r="P88" t="s">
        <v>253</v>
      </c>
      <c r="U88" s="22">
        <v>45717</v>
      </c>
      <c r="V88" s="22">
        <v>45720</v>
      </c>
      <c r="W88">
        <v>4</v>
      </c>
      <c r="AA88">
        <v>100</v>
      </c>
      <c r="AB88">
        <v>1</v>
      </c>
      <c r="AG88">
        <v>3800</v>
      </c>
      <c r="BE88" t="e">
        <f>DashboardTable[[#This Row],[ProjectID]]=#REF!</f>
        <v>#REF!</v>
      </c>
    </row>
    <row r="89" spans="1:57" x14ac:dyDescent="0.25">
      <c r="A89">
        <v>6</v>
      </c>
      <c r="B89" t="s">
        <v>238</v>
      </c>
      <c r="C89" t="s">
        <v>158</v>
      </c>
      <c r="D89">
        <v>12</v>
      </c>
      <c r="I89">
        <v>1</v>
      </c>
      <c r="K89" t="s">
        <v>160</v>
      </c>
      <c r="L89">
        <v>2.2000000000000002</v>
      </c>
      <c r="M89" t="s">
        <v>293</v>
      </c>
      <c r="N89" t="s">
        <v>159</v>
      </c>
      <c r="O89" t="s">
        <v>59</v>
      </c>
      <c r="P89" t="s">
        <v>254</v>
      </c>
      <c r="U89" s="22">
        <v>45722</v>
      </c>
      <c r="V89" s="22">
        <v>45728</v>
      </c>
      <c r="W89">
        <v>9</v>
      </c>
      <c r="AA89">
        <v>0</v>
      </c>
      <c r="AB89">
        <v>0.33333333333333331</v>
      </c>
      <c r="AG89">
        <v>128000</v>
      </c>
      <c r="BE89" t="e">
        <f>DashboardTable[[#This Row],[ProjectID]]=#REF!</f>
        <v>#REF!</v>
      </c>
    </row>
    <row r="90" spans="1:57" x14ac:dyDescent="0.25">
      <c r="A90">
        <v>6</v>
      </c>
      <c r="B90" t="s">
        <v>237</v>
      </c>
      <c r="C90" t="s">
        <v>158</v>
      </c>
      <c r="D90">
        <v>13</v>
      </c>
      <c r="E90" t="s">
        <v>294</v>
      </c>
      <c r="F90" t="s">
        <v>295</v>
      </c>
      <c r="G90">
        <v>45722</v>
      </c>
      <c r="I90">
        <v>2</v>
      </c>
      <c r="K90" t="s">
        <v>160</v>
      </c>
      <c r="L90" t="s">
        <v>296</v>
      </c>
      <c r="M90" t="s">
        <v>297</v>
      </c>
      <c r="N90" t="s">
        <v>266</v>
      </c>
      <c r="O90" t="s">
        <v>59</v>
      </c>
      <c r="P90" t="s">
        <v>254</v>
      </c>
      <c r="U90" s="22">
        <v>45722</v>
      </c>
      <c r="V90" s="22">
        <v>45725</v>
      </c>
      <c r="W90">
        <v>4</v>
      </c>
      <c r="AA90">
        <v>0</v>
      </c>
      <c r="AB90">
        <v>0.5</v>
      </c>
      <c r="AG90">
        <v>65000</v>
      </c>
      <c r="BE90" t="e">
        <f>DashboardTable[[#This Row],[ProjectID]]=#REF!</f>
        <v>#REF!</v>
      </c>
    </row>
    <row r="91" spans="1:57" x14ac:dyDescent="0.25">
      <c r="A91">
        <v>6</v>
      </c>
      <c r="B91" t="s">
        <v>237</v>
      </c>
      <c r="C91" t="s">
        <v>158</v>
      </c>
      <c r="D91">
        <v>19</v>
      </c>
      <c r="E91" t="s">
        <v>298</v>
      </c>
      <c r="G91">
        <v>45726</v>
      </c>
      <c r="I91">
        <v>2</v>
      </c>
      <c r="K91" t="s">
        <v>160</v>
      </c>
      <c r="L91" t="s">
        <v>299</v>
      </c>
      <c r="M91" t="s">
        <v>300</v>
      </c>
      <c r="N91" t="s">
        <v>159</v>
      </c>
      <c r="O91" t="s">
        <v>59</v>
      </c>
      <c r="P91" t="s">
        <v>254</v>
      </c>
      <c r="U91" s="22">
        <v>45726</v>
      </c>
      <c r="V91" s="22">
        <v>45727</v>
      </c>
      <c r="W91">
        <v>2</v>
      </c>
      <c r="AA91">
        <v>0</v>
      </c>
      <c r="AB91">
        <v>0.25</v>
      </c>
      <c r="AG91">
        <v>47000</v>
      </c>
      <c r="BE91" t="e">
        <f>DashboardTable[[#This Row],[ProjectID]]=#REF!</f>
        <v>#REF!</v>
      </c>
    </row>
    <row r="92" spans="1:57" x14ac:dyDescent="0.25">
      <c r="A92">
        <v>6</v>
      </c>
      <c r="B92" t="s">
        <v>237</v>
      </c>
      <c r="C92" t="s">
        <v>158</v>
      </c>
      <c r="D92">
        <v>14</v>
      </c>
      <c r="E92" t="s">
        <v>298</v>
      </c>
      <c r="F92" t="s">
        <v>301</v>
      </c>
      <c r="G92">
        <v>45726</v>
      </c>
      <c r="I92">
        <v>2</v>
      </c>
      <c r="K92" t="s">
        <v>160</v>
      </c>
      <c r="L92" t="s">
        <v>302</v>
      </c>
      <c r="M92" t="s">
        <v>303</v>
      </c>
      <c r="N92" t="s">
        <v>159</v>
      </c>
      <c r="O92" t="s">
        <v>59</v>
      </c>
      <c r="P92" t="s">
        <v>256</v>
      </c>
      <c r="U92" s="22">
        <v>45726</v>
      </c>
      <c r="V92" s="22">
        <v>45728</v>
      </c>
      <c r="W92">
        <v>3</v>
      </c>
      <c r="AA92">
        <v>0</v>
      </c>
      <c r="AB92">
        <v>0.25</v>
      </c>
      <c r="AG92">
        <v>16000</v>
      </c>
      <c r="BE92" t="e">
        <f>DashboardTable[[#This Row],[ProjectID]]=#REF!</f>
        <v>#REF!</v>
      </c>
    </row>
    <row r="93" spans="1:57" x14ac:dyDescent="0.25">
      <c r="A93">
        <v>6</v>
      </c>
      <c r="B93" t="s">
        <v>236</v>
      </c>
      <c r="C93" t="s">
        <v>158</v>
      </c>
      <c r="D93">
        <v>15</v>
      </c>
      <c r="I93">
        <v>0</v>
      </c>
      <c r="K93" t="s">
        <v>160</v>
      </c>
      <c r="L93">
        <v>3</v>
      </c>
      <c r="M93" t="s">
        <v>270</v>
      </c>
      <c r="N93" t="s">
        <v>159</v>
      </c>
      <c r="O93" t="s">
        <v>59</v>
      </c>
      <c r="P93" t="s">
        <v>256</v>
      </c>
      <c r="U93" s="22">
        <v>45729</v>
      </c>
      <c r="V93" s="22">
        <v>45731</v>
      </c>
      <c r="W93">
        <v>6</v>
      </c>
      <c r="AA93">
        <v>0</v>
      </c>
      <c r="AB93">
        <v>0</v>
      </c>
      <c r="AG93">
        <v>93500</v>
      </c>
      <c r="BE93" t="e">
        <f>DashboardTable[[#This Row],[ProjectID]]=#REF!</f>
        <v>#REF!</v>
      </c>
    </row>
    <row r="94" spans="1:57" x14ac:dyDescent="0.25">
      <c r="A94">
        <v>6</v>
      </c>
      <c r="B94" t="s">
        <v>237</v>
      </c>
      <c r="C94" t="s">
        <v>158</v>
      </c>
      <c r="D94">
        <v>16</v>
      </c>
      <c r="E94" t="s">
        <v>304</v>
      </c>
      <c r="F94" t="s">
        <v>305</v>
      </c>
      <c r="G94">
        <v>45729</v>
      </c>
      <c r="I94">
        <v>1</v>
      </c>
      <c r="K94" t="s">
        <v>160</v>
      </c>
      <c r="L94">
        <v>3.1</v>
      </c>
      <c r="M94" t="s">
        <v>271</v>
      </c>
      <c r="N94" t="s">
        <v>159</v>
      </c>
      <c r="O94" t="s">
        <v>59</v>
      </c>
      <c r="P94" t="s">
        <v>254</v>
      </c>
      <c r="U94" s="22">
        <v>45729</v>
      </c>
      <c r="V94" s="22">
        <v>45731</v>
      </c>
      <c r="W94">
        <v>3</v>
      </c>
      <c r="AA94">
        <v>0</v>
      </c>
      <c r="AB94">
        <v>0</v>
      </c>
      <c r="AG94">
        <v>13500</v>
      </c>
      <c r="BE94" t="e">
        <f>DashboardTable[[#This Row],[ProjectID]]=#REF!</f>
        <v>#REF!</v>
      </c>
    </row>
    <row r="95" spans="1:57" x14ac:dyDescent="0.25">
      <c r="A95">
        <v>6</v>
      </c>
      <c r="B95" t="s">
        <v>237</v>
      </c>
      <c r="C95" t="s">
        <v>158</v>
      </c>
      <c r="D95">
        <v>17</v>
      </c>
      <c r="E95" t="s">
        <v>306</v>
      </c>
      <c r="F95" t="s">
        <v>307</v>
      </c>
      <c r="G95">
        <v>45729</v>
      </c>
      <c r="I95">
        <v>1</v>
      </c>
      <c r="K95" t="s">
        <v>160</v>
      </c>
      <c r="L95">
        <v>3.2</v>
      </c>
      <c r="M95" t="s">
        <v>272</v>
      </c>
      <c r="N95" t="s">
        <v>259</v>
      </c>
      <c r="O95" t="s">
        <v>59</v>
      </c>
      <c r="P95" t="s">
        <v>255</v>
      </c>
      <c r="U95" s="22">
        <v>45729</v>
      </c>
      <c r="V95" s="22">
        <v>45731</v>
      </c>
      <c r="W95">
        <v>3</v>
      </c>
      <c r="AA95">
        <v>0</v>
      </c>
      <c r="AB95">
        <v>0</v>
      </c>
      <c r="AG95">
        <v>80000</v>
      </c>
      <c r="BE95" t="e">
        <f>DashboardTable[[#This Row],[ProjectID]]=#REF!</f>
        <v>#REF!</v>
      </c>
    </row>
    <row r="96" spans="1:57" x14ac:dyDescent="0.25">
      <c r="A96">
        <v>6</v>
      </c>
      <c r="B96" t="s">
        <v>158</v>
      </c>
      <c r="C96" t="s">
        <v>158</v>
      </c>
      <c r="D96">
        <v>18</v>
      </c>
      <c r="E96" t="s">
        <v>308</v>
      </c>
      <c r="F96" t="s">
        <v>309</v>
      </c>
      <c r="G96">
        <v>45732</v>
      </c>
      <c r="I96">
        <v>0</v>
      </c>
      <c r="K96" t="s">
        <v>160</v>
      </c>
      <c r="L96">
        <v>4</v>
      </c>
      <c r="M96" t="s">
        <v>273</v>
      </c>
      <c r="N96" t="s">
        <v>159</v>
      </c>
      <c r="O96" t="s">
        <v>59</v>
      </c>
      <c r="P96" t="s">
        <v>251</v>
      </c>
      <c r="U96" s="22">
        <v>45732</v>
      </c>
      <c r="V96" s="22">
        <v>45734</v>
      </c>
      <c r="W96">
        <v>2</v>
      </c>
      <c r="AA96">
        <v>0</v>
      </c>
      <c r="AB96">
        <v>0</v>
      </c>
      <c r="AG96">
        <v>20000</v>
      </c>
      <c r="BE96" t="e">
        <f>DashboardTable[[#This Row],[ProjectID]]=#REF!</f>
        <v>#REF!</v>
      </c>
    </row>
    <row r="97" spans="1:57" x14ac:dyDescent="0.25">
      <c r="A97">
        <v>6</v>
      </c>
      <c r="B97" t="s">
        <v>235</v>
      </c>
      <c r="C97" t="s">
        <v>235</v>
      </c>
      <c r="D97">
        <v>20</v>
      </c>
      <c r="E97" t="s">
        <v>310</v>
      </c>
      <c r="G97">
        <v>45735</v>
      </c>
      <c r="I97">
        <v>0</v>
      </c>
      <c r="K97" t="s">
        <v>160</v>
      </c>
      <c r="L97">
        <v>5</v>
      </c>
      <c r="M97" t="s">
        <v>311</v>
      </c>
      <c r="N97" t="s">
        <v>159</v>
      </c>
      <c r="O97" t="s">
        <v>59</v>
      </c>
      <c r="P97" t="s">
        <v>279</v>
      </c>
      <c r="U97" s="22">
        <v>45735</v>
      </c>
      <c r="V97" s="22">
        <v>45735</v>
      </c>
      <c r="W97">
        <v>0</v>
      </c>
      <c r="AA97">
        <v>0</v>
      </c>
      <c r="AB97">
        <v>0</v>
      </c>
      <c r="BE97" t="e">
        <f>DashboardTable[[#This Row],[ProjectID]]=#REF!</f>
        <v>#REF!</v>
      </c>
    </row>
  </sheetData>
  <phoneticPr fontId="23"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T"/>
  <dimension ref="A1:BA62"/>
  <sheetViews>
    <sheetView showGridLines="0" showRowColHeaders="0" zoomScaleNormal="100" workbookViewId="0">
      <selection activeCell="E5" sqref="E5"/>
    </sheetView>
  </sheetViews>
  <sheetFormatPr defaultColWidth="0" defaultRowHeight="13.8" x14ac:dyDescent="0.25"/>
  <cols>
    <col min="1" max="1" width="1" customWidth="1"/>
    <col min="2" max="13" width="15.69921875" customWidth="1"/>
    <col min="14" max="15" width="15.69921875" hidden="1" customWidth="1"/>
    <col min="16" max="16" width="6.296875" hidden="1" customWidth="1"/>
    <col min="17" max="17" width="10.296875" hidden="1" customWidth="1"/>
    <col min="18" max="18" width="10.69921875" hidden="1" customWidth="1"/>
    <col min="19" max="19" width="6" hidden="1" customWidth="1"/>
    <col min="20" max="20" width="9.69921875" hidden="1" customWidth="1"/>
    <col min="21" max="21" width="11.296875" hidden="1" customWidth="1"/>
    <col min="22" max="22" width="11.69921875" hidden="1" customWidth="1"/>
    <col min="23" max="23" width="10.296875" hidden="1" customWidth="1"/>
    <col min="24" max="24" width="9.69921875" hidden="1" customWidth="1"/>
    <col min="25" max="25" width="10.296875" hidden="1" customWidth="1"/>
    <col min="26" max="26" width="6" hidden="1" customWidth="1"/>
    <col min="27" max="27" width="10.3984375" hidden="1" customWidth="1"/>
    <col min="28" max="28" width="9.69921875" hidden="1" customWidth="1"/>
    <col min="29" max="30" width="6.296875" hidden="1" customWidth="1"/>
    <col min="31" max="16384" width="6" hidden="1"/>
  </cols>
  <sheetData>
    <row r="1" spans="1:53" s="2" customFormat="1" ht="11.25" customHeight="1" x14ac:dyDescent="0.25">
      <c r="A1" s="45"/>
      <c r="B1" s="45"/>
      <c r="C1" s="24"/>
      <c r="D1" s="24"/>
      <c r="E1" s="24"/>
      <c r="F1" s="24"/>
      <c r="G1" s="24"/>
      <c r="H1" s="24"/>
      <c r="I1" s="39"/>
      <c r="J1" s="39"/>
      <c r="K1" s="39"/>
      <c r="L1" s="39"/>
      <c r="M1" s="39"/>
      <c r="N1" s="39"/>
      <c r="O1" s="39"/>
      <c r="P1" s="46" t="s">
        <v>187</v>
      </c>
      <c r="Q1" s="46" t="s">
        <v>188</v>
      </c>
      <c r="R1" s="46" t="s">
        <v>189</v>
      </c>
      <c r="S1" s="46" t="s">
        <v>9</v>
      </c>
      <c r="T1" s="46" t="s">
        <v>190</v>
      </c>
      <c r="U1" s="46" t="s">
        <v>215</v>
      </c>
      <c r="V1" s="46" t="s">
        <v>192</v>
      </c>
      <c r="W1" s="101" t="s">
        <v>192</v>
      </c>
      <c r="X1" s="102" t="s">
        <v>191</v>
      </c>
      <c r="Y1" s="103" t="s">
        <v>193</v>
      </c>
      <c r="Z1" s="46" t="s">
        <v>194</v>
      </c>
      <c r="AA1" s="46" t="s">
        <v>195</v>
      </c>
      <c r="AB1" s="46" t="s">
        <v>196</v>
      </c>
      <c r="AC1" s="46" t="s">
        <v>3</v>
      </c>
      <c r="AD1" s="104" t="s">
        <v>197</v>
      </c>
      <c r="AE1" s="105" t="s">
        <v>198</v>
      </c>
      <c r="AF1" s="102" t="s">
        <v>199</v>
      </c>
      <c r="AG1" s="106" t="s">
        <v>200</v>
      </c>
      <c r="AH1" s="104" t="s">
        <v>232</v>
      </c>
      <c r="AI1" s="103" t="s">
        <v>233</v>
      </c>
      <c r="AJ1" s="106" t="s">
        <v>234</v>
      </c>
      <c r="AK1" s="46"/>
      <c r="AL1" s="46"/>
      <c r="AM1" s="46"/>
      <c r="AN1" s="46"/>
      <c r="AO1" s="46"/>
      <c r="AP1" s="46"/>
      <c r="AQ1" s="46"/>
      <c r="AR1" s="46"/>
      <c r="AS1" s="46" t="s">
        <v>226</v>
      </c>
      <c r="AT1" s="46" t="s">
        <v>227</v>
      </c>
      <c r="AU1" s="46"/>
      <c r="AV1" s="46"/>
      <c r="AW1" s="46"/>
      <c r="AX1" s="46" t="s">
        <v>205</v>
      </c>
      <c r="AY1" s="46" t="s">
        <v>212</v>
      </c>
      <c r="AZ1" s="46" t="s">
        <v>213</v>
      </c>
    </row>
    <row r="2" spans="1:53" s="2" customFormat="1" ht="19.8" thickBot="1" x14ac:dyDescent="0.4">
      <c r="A2" s="36"/>
      <c r="B2" s="180"/>
      <c r="C2" s="180"/>
      <c r="D2" s="180"/>
      <c r="E2" s="180"/>
      <c r="F2" s="35"/>
      <c r="G2" s="35"/>
      <c r="H2" s="36"/>
      <c r="I2" s="37"/>
      <c r="J2" s="37"/>
      <c r="K2" s="37"/>
      <c r="L2" s="37"/>
      <c r="M2" s="38"/>
      <c r="N2" s="38"/>
      <c r="O2" s="37"/>
      <c r="P2" s="46" t="s">
        <v>185</v>
      </c>
      <c r="Q2" s="46" t="s">
        <v>201</v>
      </c>
      <c r="R2" s="46" t="s">
        <v>201</v>
      </c>
      <c r="S2" s="46"/>
      <c r="T2" s="46">
        <v>0.5</v>
      </c>
      <c r="U2" s="47">
        <v>1000</v>
      </c>
      <c r="V2" s="47">
        <v>2000</v>
      </c>
      <c r="W2" s="47">
        <v>200</v>
      </c>
      <c r="X2" s="47">
        <v>100</v>
      </c>
      <c r="Y2" s="47">
        <v>500</v>
      </c>
      <c r="Z2" s="46" t="s">
        <v>8</v>
      </c>
      <c r="AA2" s="48">
        <v>44398</v>
      </c>
      <c r="AB2" s="48">
        <v>44411</v>
      </c>
      <c r="AC2" s="46">
        <v>5</v>
      </c>
      <c r="AD2" s="46">
        <v>0</v>
      </c>
      <c r="AE2" s="46">
        <v>0</v>
      </c>
      <c r="AF2" s="46">
        <v>5</v>
      </c>
      <c r="AG2" s="46">
        <v>0</v>
      </c>
      <c r="AH2" s="46"/>
      <c r="AI2" s="46"/>
      <c r="AJ2" s="46"/>
      <c r="AK2" s="46"/>
      <c r="AL2" s="46"/>
      <c r="AM2" s="46"/>
      <c r="AN2" s="46"/>
      <c r="AO2" s="46"/>
      <c r="AP2" s="46"/>
      <c r="AQ2" s="46"/>
      <c r="AR2" s="46"/>
      <c r="AS2" s="46" t="str">
        <f>$Z$2&amp;" "&amp;$U$2</f>
        <v>$ 1000</v>
      </c>
      <c r="AT2" s="46" t="str">
        <f>$Z$2&amp;" "&amp;$Y$2</f>
        <v>$ 500</v>
      </c>
      <c r="AU2" s="46"/>
      <c r="AV2" s="46" t="str">
        <f>IF($AX$2=0,"Planned",IF($AX$2=1,"Completed","In-Progress"))</f>
        <v>In-Progress</v>
      </c>
      <c r="AW2" s="46"/>
      <c r="AX2" s="49">
        <f>T2</f>
        <v>0.5</v>
      </c>
      <c r="AY2" s="49">
        <f>1-AX2</f>
        <v>0.5</v>
      </c>
      <c r="AZ2" s="50">
        <f>IFERROR((Y2-U2)/U2,0)</f>
        <v>-0.5</v>
      </c>
      <c r="BA2" s="42" t="str">
        <f>IF(AZ2&gt;0,TEXT(AZ2,"##%") &amp; " Over Target","")</f>
        <v/>
      </c>
    </row>
    <row r="3" spans="1:53" s="2" customFormat="1" ht="15" customHeight="1" thickTop="1" x14ac:dyDescent="0.25">
      <c r="A3" s="51"/>
      <c r="B3" s="182" t="s">
        <v>11</v>
      </c>
      <c r="C3" s="182"/>
      <c r="D3" s="182"/>
      <c r="E3" s="182"/>
      <c r="F3"/>
      <c r="G3"/>
      <c r="H3"/>
      <c r="P3" s="46">
        <v>0</v>
      </c>
      <c r="Q3" s="46" t="s">
        <v>202</v>
      </c>
      <c r="R3" s="46" t="s">
        <v>202</v>
      </c>
      <c r="S3" s="46"/>
      <c r="T3" s="46">
        <v>0</v>
      </c>
      <c r="U3" s="47">
        <v>1000</v>
      </c>
      <c r="V3" s="47">
        <v>2000</v>
      </c>
      <c r="W3" s="47">
        <v>200</v>
      </c>
      <c r="X3" s="47">
        <v>100</v>
      </c>
      <c r="Y3" s="47">
        <v>300</v>
      </c>
      <c r="Z3" s="46" t="s">
        <v>8</v>
      </c>
      <c r="AA3" s="48">
        <v>44398</v>
      </c>
      <c r="AB3" s="48">
        <v>44411</v>
      </c>
      <c r="AC3" s="46">
        <v>5</v>
      </c>
      <c r="AD3" s="46">
        <v>0</v>
      </c>
      <c r="AE3" s="46">
        <v>0</v>
      </c>
      <c r="AF3" s="46">
        <v>5</v>
      </c>
      <c r="AG3" s="46">
        <v>0</v>
      </c>
      <c r="AH3" s="46"/>
      <c r="AI3" s="46"/>
      <c r="AJ3" s="46"/>
      <c r="AK3" s="46"/>
      <c r="AL3" s="46"/>
      <c r="AM3" s="46"/>
      <c r="AN3" s="46"/>
      <c r="AO3" s="46"/>
      <c r="AP3" s="46"/>
      <c r="AQ3" s="46"/>
      <c r="AR3" s="46"/>
      <c r="AS3" s="46"/>
      <c r="AT3" s="46"/>
      <c r="AU3" s="46"/>
      <c r="AV3" s="46"/>
      <c r="AW3" s="46"/>
      <c r="AX3" s="46"/>
      <c r="AY3" s="46"/>
      <c r="AZ3" s="46"/>
    </row>
    <row r="4" spans="1:53" s="2" customFormat="1" ht="15" customHeight="1" x14ac:dyDescent="0.25">
      <c r="A4"/>
      <c r="B4"/>
      <c r="C4"/>
      <c r="D4" s="29" t="s">
        <v>10</v>
      </c>
      <c r="E4" s="30" t="str">
        <f>AV2</f>
        <v>In-Progress</v>
      </c>
      <c r="F4" s="6"/>
      <c r="G4"/>
      <c r="H4"/>
      <c r="P4" s="46">
        <v>1</v>
      </c>
      <c r="Q4" s="46" t="s">
        <v>203</v>
      </c>
      <c r="R4" s="46" t="s">
        <v>186</v>
      </c>
      <c r="S4" s="46" t="s">
        <v>204</v>
      </c>
      <c r="T4" s="46">
        <v>0</v>
      </c>
      <c r="U4" s="47">
        <v>1000</v>
      </c>
      <c r="V4" s="47">
        <v>2000</v>
      </c>
      <c r="W4" s="47">
        <v>200</v>
      </c>
      <c r="X4" s="47">
        <v>100</v>
      </c>
      <c r="Y4" s="47">
        <v>300</v>
      </c>
      <c r="Z4" s="46" t="s">
        <v>8</v>
      </c>
      <c r="AA4" s="48">
        <v>44398</v>
      </c>
      <c r="AB4" s="48">
        <v>44411</v>
      </c>
      <c r="AC4" s="46">
        <v>5</v>
      </c>
      <c r="AD4" s="46">
        <v>0</v>
      </c>
      <c r="AE4" s="46">
        <v>0</v>
      </c>
      <c r="AF4" s="46">
        <v>5</v>
      </c>
      <c r="AG4" s="46">
        <v>0</v>
      </c>
      <c r="AH4" s="46"/>
      <c r="AI4" s="46"/>
      <c r="AJ4" s="46"/>
      <c r="AK4" s="46"/>
      <c r="AL4" s="46"/>
      <c r="AM4" s="46"/>
      <c r="AN4" s="46"/>
      <c r="AO4" s="46"/>
      <c r="AP4" s="46"/>
      <c r="AQ4" s="46"/>
      <c r="AR4" s="46"/>
      <c r="AS4" s="46"/>
      <c r="AT4" s="46"/>
      <c r="AU4" s="46"/>
      <c r="AV4" s="46"/>
      <c r="AW4" s="46"/>
      <c r="AX4" s="46"/>
      <c r="AY4" s="46"/>
      <c r="AZ4" s="46"/>
    </row>
    <row r="5" spans="1:53" s="2" customFormat="1" ht="15" customHeight="1" x14ac:dyDescent="0.25">
      <c r="A5"/>
      <c r="B5"/>
      <c r="C5"/>
      <c r="D5" s="31" t="s">
        <v>9</v>
      </c>
      <c r="E5" s="110" t="str">
        <f>IF(S2 = "","",S2)</f>
        <v/>
      </c>
      <c r="F5" s="6"/>
      <c r="G5"/>
      <c r="H5"/>
    </row>
    <row r="6" spans="1:53" s="2" customFormat="1" ht="15" customHeight="1" x14ac:dyDescent="0.25">
      <c r="A6"/>
      <c r="B6"/>
      <c r="C6"/>
      <c r="D6" s="31" t="s">
        <v>7</v>
      </c>
      <c r="E6" s="32">
        <f>AA2</f>
        <v>44398</v>
      </c>
      <c r="F6" s="5"/>
      <c r="G6"/>
      <c r="H6"/>
    </row>
    <row r="7" spans="1:53" s="2" customFormat="1" ht="15" customHeight="1" x14ac:dyDescent="0.25">
      <c r="A7"/>
      <c r="B7"/>
      <c r="C7"/>
      <c r="D7" s="31" t="s">
        <v>5</v>
      </c>
      <c r="E7" s="32">
        <f>AB2</f>
        <v>44411</v>
      </c>
      <c r="F7" s="5"/>
      <c r="G7"/>
      <c r="H7"/>
    </row>
    <row r="8" spans="1:53" s="2" customFormat="1" ht="15" customHeight="1" x14ac:dyDescent="0.25">
      <c r="A8"/>
      <c r="B8"/>
      <c r="C8"/>
      <c r="D8" s="43"/>
      <c r="E8" s="44"/>
      <c r="F8" s="4"/>
      <c r="G8"/>
      <c r="H8"/>
    </row>
    <row r="9" spans="1:53" s="2" customFormat="1" ht="15" customHeight="1" x14ac:dyDescent="0.25">
      <c r="A9"/>
      <c r="B9" s="178"/>
      <c r="C9" s="178"/>
      <c r="D9" s="29" t="s">
        <v>3</v>
      </c>
      <c r="E9" s="33">
        <f>AC2</f>
        <v>5</v>
      </c>
      <c r="F9" s="4"/>
      <c r="G9"/>
      <c r="H9"/>
    </row>
    <row r="10" spans="1:53" s="2" customFormat="1" ht="15" customHeight="1" x14ac:dyDescent="0.25">
      <c r="A10"/>
      <c r="B10"/>
      <c r="C10"/>
      <c r="D10" s="31" t="s">
        <v>56</v>
      </c>
      <c r="E10" s="33">
        <f>AD2</f>
        <v>0</v>
      </c>
      <c r="F10" s="4"/>
      <c r="G10"/>
      <c r="H10"/>
    </row>
    <row r="11" spans="1:53" s="2" customFormat="1" ht="15" customHeight="1" x14ac:dyDescent="0.25">
      <c r="A11"/>
      <c r="B11"/>
      <c r="C11"/>
      <c r="D11" s="31" t="s">
        <v>57</v>
      </c>
      <c r="E11" s="33">
        <f>AE2</f>
        <v>0</v>
      </c>
      <c r="F11" s="4"/>
      <c r="G11"/>
      <c r="H11"/>
    </row>
    <row r="12" spans="1:53" s="2" customFormat="1" ht="15" customHeight="1" x14ac:dyDescent="0.25">
      <c r="A12"/>
      <c r="B12"/>
      <c r="C12"/>
      <c r="D12" s="31" t="s">
        <v>58</v>
      </c>
      <c r="E12" s="33">
        <f>AF2</f>
        <v>5</v>
      </c>
      <c r="F12" s="3"/>
      <c r="G12"/>
      <c r="H12"/>
    </row>
    <row r="13" spans="1:53" s="2" customFormat="1" ht="15" customHeight="1" x14ac:dyDescent="0.25">
      <c r="A13"/>
      <c r="B13"/>
      <c r="C13"/>
      <c r="D13" s="31" t="s">
        <v>59</v>
      </c>
      <c r="E13" s="34">
        <f>AG2</f>
        <v>0</v>
      </c>
      <c r="F13" s="3"/>
      <c r="G13"/>
      <c r="H13"/>
    </row>
    <row r="14" spans="1:53" s="2" customFormat="1" ht="15" customHeight="1" x14ac:dyDescent="0.25">
      <c r="A14"/>
      <c r="B14"/>
      <c r="C14"/>
      <c r="D14" s="28"/>
      <c r="E14" s="27"/>
      <c r="F14" s="3"/>
      <c r="G14"/>
      <c r="H14"/>
    </row>
    <row r="15" spans="1:53" s="2" customFormat="1" ht="15.6" x14ac:dyDescent="0.3">
      <c r="A15"/>
      <c r="B15" s="181"/>
      <c r="C15" s="181"/>
      <c r="D15" s="181"/>
      <c r="E15" s="181"/>
      <c r="F15" s="41"/>
      <c r="G15"/>
      <c r="H15"/>
    </row>
    <row r="16" spans="1:53" s="7" customFormat="1" ht="15" customHeight="1" x14ac:dyDescent="0.3">
      <c r="A16"/>
      <c r="B16" s="1"/>
      <c r="C16" s="1"/>
      <c r="D16" s="41"/>
      <c r="E16" s="41"/>
      <c r="F16" s="1"/>
      <c r="G16"/>
      <c r="H16" s="1"/>
    </row>
    <row r="17" spans="1:8" s="2" customFormat="1" x14ac:dyDescent="0.25">
      <c r="A17"/>
      <c r="B17"/>
      <c r="C17"/>
      <c r="D17" s="1"/>
      <c r="E17" s="1"/>
      <c r="F17"/>
      <c r="G17"/>
      <c r="H17"/>
    </row>
    <row r="18" spans="1:8" s="2" customFormat="1" ht="15" customHeight="1" x14ac:dyDescent="0.25">
      <c r="A18"/>
      <c r="B18"/>
      <c r="C18"/>
      <c r="D18" s="179" t="str">
        <f>BA2</f>
        <v/>
      </c>
      <c r="E18" s="179"/>
      <c r="F18"/>
      <c r="G18"/>
      <c r="H18"/>
    </row>
    <row r="19" spans="1:8" s="2" customFormat="1" ht="15" customHeight="1" x14ac:dyDescent="0.25">
      <c r="A19"/>
      <c r="B19"/>
      <c r="C19"/>
      <c r="D19"/>
      <c r="E19"/>
      <c r="F19"/>
      <c r="G19"/>
      <c r="H19"/>
    </row>
    <row r="20" spans="1:8" s="2" customFormat="1" ht="15" customHeight="1" x14ac:dyDescent="0.25">
      <c r="A20"/>
      <c r="B20" s="177"/>
      <c r="C20" s="177"/>
      <c r="D20"/>
      <c r="E20"/>
      <c r="F20"/>
      <c r="G20"/>
      <c r="H20"/>
    </row>
    <row r="21" spans="1:8" s="2" customFormat="1" ht="15" customHeight="1" x14ac:dyDescent="0.25">
      <c r="A21"/>
      <c r="B21"/>
      <c r="C21"/>
      <c r="D21" s="8"/>
      <c r="E21"/>
      <c r="F21"/>
      <c r="G21"/>
      <c r="H21"/>
    </row>
    <row r="22" spans="1:8" s="2" customFormat="1" ht="15" customHeight="1" x14ac:dyDescent="0.25">
      <c r="A22"/>
      <c r="B22"/>
      <c r="C22"/>
      <c r="D22"/>
      <c r="E22"/>
      <c r="F22"/>
      <c r="G22"/>
      <c r="H22"/>
    </row>
    <row r="23" spans="1:8" s="2" customFormat="1" ht="15" customHeight="1" x14ac:dyDescent="0.25">
      <c r="A23"/>
      <c r="B23"/>
      <c r="C23"/>
      <c r="D23"/>
      <c r="E23"/>
      <c r="F23"/>
      <c r="G23"/>
      <c r="H23"/>
    </row>
    <row r="24" spans="1:8" s="2" customFormat="1" ht="15" customHeight="1" x14ac:dyDescent="0.25">
      <c r="A24"/>
      <c r="B24"/>
      <c r="C24"/>
      <c r="D24"/>
      <c r="E24"/>
      <c r="F24"/>
      <c r="G24"/>
      <c r="H24"/>
    </row>
    <row r="25" spans="1:8" s="2" customFormat="1" ht="15" customHeight="1" x14ac:dyDescent="0.25">
      <c r="A25"/>
      <c r="B25"/>
      <c r="C25"/>
      <c r="D25"/>
      <c r="E25"/>
      <c r="F25"/>
      <c r="G25"/>
      <c r="H25"/>
    </row>
    <row r="26" spans="1:8" s="7" customFormat="1" ht="15" customHeight="1" x14ac:dyDescent="0.25">
      <c r="A26"/>
      <c r="B26"/>
      <c r="C26"/>
      <c r="D26"/>
      <c r="E26"/>
      <c r="F26"/>
      <c r="G26"/>
      <c r="H26"/>
    </row>
    <row r="27" spans="1:8" s="2" customFormat="1" ht="15" customHeight="1" x14ac:dyDescent="0.25">
      <c r="A27"/>
      <c r="B27" s="1"/>
      <c r="C27" s="1"/>
      <c r="D27"/>
      <c r="E27"/>
      <c r="F27" s="1"/>
      <c r="G27"/>
      <c r="H27" s="1"/>
    </row>
    <row r="28" spans="1:8" s="2" customFormat="1" ht="15" customHeight="1" x14ac:dyDescent="0.25">
      <c r="A28"/>
      <c r="B28"/>
      <c r="C28"/>
      <c r="D28" s="1"/>
      <c r="E28" s="1"/>
      <c r="F28"/>
      <c r="G28"/>
      <c r="H28"/>
    </row>
    <row r="29" spans="1:8" s="2" customFormat="1" ht="15" customHeight="1" x14ac:dyDescent="0.25">
      <c r="A29"/>
      <c r="B29"/>
      <c r="C29"/>
      <c r="D29"/>
      <c r="E29"/>
      <c r="F29"/>
      <c r="G29"/>
      <c r="H29"/>
    </row>
    <row r="30" spans="1:8" s="2" customFormat="1" ht="15" customHeight="1" x14ac:dyDescent="0.25">
      <c r="A30"/>
      <c r="B30"/>
      <c r="C30"/>
      <c r="D30"/>
      <c r="E30"/>
      <c r="F30"/>
      <c r="G30"/>
      <c r="H30"/>
    </row>
    <row r="31" spans="1:8" s="2" customFormat="1" ht="15" customHeight="1" x14ac:dyDescent="0.25">
      <c r="A31"/>
      <c r="B31"/>
      <c r="C31"/>
      <c r="D31"/>
      <c r="E31"/>
      <c r="F31"/>
      <c r="G31"/>
      <c r="H31"/>
    </row>
    <row r="32" spans="1:8" s="2" customFormat="1" ht="15" customHeight="1" x14ac:dyDescent="0.25">
      <c r="A32"/>
      <c r="B32"/>
      <c r="C32"/>
      <c r="D32"/>
      <c r="E32"/>
      <c r="F32"/>
      <c r="G32"/>
      <c r="H32"/>
    </row>
    <row r="33" spans="1:8" s="2" customFormat="1" ht="15" customHeight="1" x14ac:dyDescent="0.25">
      <c r="A33"/>
      <c r="B33"/>
      <c r="C33"/>
      <c r="D33" s="8"/>
      <c r="E33"/>
      <c r="F33"/>
      <c r="G33"/>
      <c r="H33"/>
    </row>
    <row r="34" spans="1:8" s="2" customFormat="1" ht="15" customHeight="1" x14ac:dyDescent="0.25">
      <c r="A34"/>
      <c r="B34"/>
      <c r="C34"/>
      <c r="D34"/>
      <c r="E34"/>
      <c r="F34"/>
      <c r="G34"/>
      <c r="H34"/>
    </row>
    <row r="35" spans="1:8" s="2" customFormat="1" ht="15" customHeight="1" x14ac:dyDescent="0.25">
      <c r="A35"/>
      <c r="B35"/>
      <c r="C35"/>
      <c r="D35"/>
      <c r="E35" s="40"/>
      <c r="F35"/>
      <c r="G35"/>
      <c r="H35"/>
    </row>
    <row r="36" spans="1:8" s="2" customFormat="1" ht="15" customHeight="1" x14ac:dyDescent="0.25">
      <c r="A36"/>
      <c r="B36"/>
      <c r="C36"/>
      <c r="D36"/>
      <c r="E36"/>
      <c r="F36"/>
      <c r="G36"/>
      <c r="H36"/>
    </row>
    <row r="37" spans="1:8" s="2" customFormat="1" ht="15" customHeight="1" x14ac:dyDescent="0.25">
      <c r="A37"/>
      <c r="B37"/>
      <c r="C37"/>
      <c r="D37"/>
      <c r="E37"/>
      <c r="F37"/>
      <c r="G37"/>
      <c r="H37"/>
    </row>
    <row r="38" spans="1:8" s="2" customFormat="1" ht="15" customHeight="1" x14ac:dyDescent="0.25">
      <c r="A38"/>
      <c r="B38"/>
      <c r="C38"/>
      <c r="D38"/>
      <c r="E38"/>
      <c r="F38"/>
      <c r="G38"/>
      <c r="H38"/>
    </row>
    <row r="39" spans="1:8" s="2" customFormat="1" ht="15" customHeight="1" x14ac:dyDescent="0.25">
      <c r="A39"/>
      <c r="B39"/>
      <c r="C39"/>
      <c r="D39"/>
      <c r="E39"/>
      <c r="F39"/>
      <c r="G39"/>
      <c r="H39"/>
    </row>
    <row r="40" spans="1:8" s="2" customFormat="1" ht="15" customHeight="1" x14ac:dyDescent="0.25">
      <c r="A40"/>
      <c r="B40"/>
      <c r="C40"/>
      <c r="D40"/>
      <c r="E40"/>
      <c r="F40"/>
      <c r="G40"/>
      <c r="H40"/>
    </row>
    <row r="41" spans="1:8" s="2" customFormat="1" ht="15" customHeight="1" x14ac:dyDescent="0.25">
      <c r="A41"/>
      <c r="B41"/>
      <c r="C41"/>
      <c r="D41"/>
      <c r="E41"/>
      <c r="F41"/>
      <c r="G41"/>
      <c r="H41"/>
    </row>
    <row r="42" spans="1:8" s="2" customFormat="1" ht="15" customHeight="1" x14ac:dyDescent="0.25">
      <c r="A42"/>
      <c r="B42"/>
      <c r="C42"/>
      <c r="D42"/>
      <c r="E42"/>
      <c r="F42"/>
      <c r="G42"/>
      <c r="H42"/>
    </row>
    <row r="43" spans="1:8" s="2" customFormat="1" ht="15" customHeight="1" x14ac:dyDescent="0.25">
      <c r="A43"/>
      <c r="B43" s="1"/>
      <c r="C43" s="1"/>
      <c r="D43"/>
      <c r="E43"/>
      <c r="F43" s="1"/>
      <c r="G43"/>
      <c r="H43"/>
    </row>
    <row r="44" spans="1:8" s="2" customFormat="1" ht="15" customHeight="1" x14ac:dyDescent="0.25">
      <c r="A44"/>
      <c r="B44" s="1"/>
      <c r="C44" s="1"/>
      <c r="D44" s="1"/>
      <c r="E44" s="1"/>
      <c r="F44" s="1"/>
      <c r="G44"/>
      <c r="H44"/>
    </row>
    <row r="45" spans="1:8" ht="15" customHeight="1" x14ac:dyDescent="0.25">
      <c r="D45" s="1"/>
      <c r="E45" s="1"/>
    </row>
    <row r="46" spans="1:8" ht="15" customHeight="1" x14ac:dyDescent="0.25"/>
    <row r="47" spans="1:8" ht="15" customHeight="1" x14ac:dyDescent="0.25"/>
    <row r="48" spans="1: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144780</xdr:colOff>
                    <xdr:row>1</xdr:row>
                    <xdr:rowOff>22860</xdr:rowOff>
                  </from>
                  <to>
                    <xdr:col>5</xdr:col>
                    <xdr:colOff>678180</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7CD60-CF50-4EED-B9B3-52E3EAFA1F3C}">
  <sheetPr codeName="GST"/>
  <dimension ref="A1:LV7"/>
  <sheetViews>
    <sheetView topLeftCell="CB1" workbookViewId="0">
      <selection activeCell="DC1" sqref="DC1"/>
    </sheetView>
  </sheetViews>
  <sheetFormatPr defaultColWidth="9.296875" defaultRowHeight="13.8" x14ac:dyDescent="0.25"/>
  <cols>
    <col min="12" max="13" width="14.69921875" customWidth="1"/>
    <col min="14" max="14" width="12.69921875" customWidth="1"/>
    <col min="20" max="20" width="12.69921875" customWidth="1"/>
    <col min="28" max="28" width="19.69921875" customWidth="1"/>
    <col min="100" max="100" width="10.3984375" bestFit="1" customWidth="1"/>
  </cols>
  <sheetData>
    <row r="1" spans="1:334" x14ac:dyDescent="0.25">
      <c r="A1" s="53" t="s">
        <v>128</v>
      </c>
      <c r="B1" s="53"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241</v>
      </c>
      <c r="V1" t="s">
        <v>242</v>
      </c>
      <c r="W1" t="s">
        <v>243</v>
      </c>
      <c r="X1" t="s">
        <v>244</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3" t="s">
        <v>81</v>
      </c>
      <c r="AP1" s="53" t="s">
        <v>82</v>
      </c>
      <c r="AQ1" s="53" t="s">
        <v>83</v>
      </c>
      <c r="AR1" s="53" t="s">
        <v>84</v>
      </c>
      <c r="AS1" s="53" t="s">
        <v>90</v>
      </c>
      <c r="AT1" s="53" t="s">
        <v>146</v>
      </c>
      <c r="AU1" s="53" t="s">
        <v>85</v>
      </c>
      <c r="AV1" s="53" t="s">
        <v>86</v>
      </c>
      <c r="AW1" s="53" t="s">
        <v>87</v>
      </c>
      <c r="AX1" s="53" t="s">
        <v>98</v>
      </c>
      <c r="AY1" s="53" t="s">
        <v>88</v>
      </c>
      <c r="AZ1" s="53" t="s">
        <v>89</v>
      </c>
      <c r="BA1" s="53" t="s">
        <v>116</v>
      </c>
      <c r="BB1" s="53" t="s">
        <v>147</v>
      </c>
      <c r="BC1" s="53" t="s">
        <v>91</v>
      </c>
      <c r="BD1" s="53" t="s">
        <v>92</v>
      </c>
      <c r="BE1" s="53" t="s">
        <v>93</v>
      </c>
      <c r="BF1" s="53" t="s">
        <v>121</v>
      </c>
      <c r="BG1" s="53" t="s">
        <v>122</v>
      </c>
      <c r="BH1" s="53" t="s">
        <v>94</v>
      </c>
      <c r="BI1" s="53" t="s">
        <v>114</v>
      </c>
      <c r="BJ1" s="53" t="s">
        <v>95</v>
      </c>
      <c r="BK1" s="53" t="s">
        <v>96</v>
      </c>
      <c r="BL1" s="53" t="s">
        <v>97</v>
      </c>
      <c r="BM1" s="53" t="s">
        <v>132</v>
      </c>
      <c r="BN1" s="53" t="s">
        <v>135</v>
      </c>
      <c r="BO1" s="53" t="s">
        <v>136</v>
      </c>
      <c r="BP1" s="53" t="s">
        <v>137</v>
      </c>
      <c r="BQ1" s="53" t="s">
        <v>138</v>
      </c>
      <c r="BR1" s="53" t="s">
        <v>139</v>
      </c>
      <c r="BS1" s="53" t="s">
        <v>140</v>
      </c>
      <c r="BT1" s="53"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245</v>
      </c>
      <c r="CY1" t="s">
        <v>246</v>
      </c>
      <c r="CZ1" t="s">
        <v>229</v>
      </c>
      <c r="DA1" t="s">
        <v>240</v>
      </c>
      <c r="DB1" t="s">
        <v>249</v>
      </c>
      <c r="DC1" t="s">
        <v>314</v>
      </c>
      <c r="LO1" t="s">
        <v>46</v>
      </c>
      <c r="LP1" t="s">
        <v>44</v>
      </c>
      <c r="LQ1" t="s">
        <v>39</v>
      </c>
      <c r="LR1" t="s">
        <v>38</v>
      </c>
      <c r="LS1" t="s">
        <v>37</v>
      </c>
      <c r="LT1" t="s">
        <v>60</v>
      </c>
      <c r="LU1" t="s">
        <v>61</v>
      </c>
      <c r="LV1" t="s">
        <v>72</v>
      </c>
    </row>
    <row r="2" spans="1:334" x14ac:dyDescent="0.25">
      <c r="A2" t="s">
        <v>113</v>
      </c>
      <c r="B2">
        <v>1</v>
      </c>
      <c r="C2" t="s">
        <v>28</v>
      </c>
      <c r="D2" t="s">
        <v>63</v>
      </c>
      <c r="E2" t="b">
        <v>1</v>
      </c>
      <c r="F2" s="2" t="s">
        <v>8</v>
      </c>
      <c r="G2" s="54">
        <v>20000</v>
      </c>
      <c r="H2" s="54">
        <v>10000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0</v>
      </c>
      <c r="AF2">
        <v>20</v>
      </c>
      <c r="AG2" t="s">
        <v>123</v>
      </c>
      <c r="AH2" t="s">
        <v>26</v>
      </c>
      <c r="AI2" t="b">
        <v>0</v>
      </c>
      <c r="AJ2" t="b">
        <v>0</v>
      </c>
      <c r="AK2" t="b">
        <v>0</v>
      </c>
      <c r="AL2" t="s">
        <v>68</v>
      </c>
      <c r="AM2" t="s">
        <v>69</v>
      </c>
      <c r="AO2" t="s">
        <v>77</v>
      </c>
      <c r="AP2" t="s">
        <v>76</v>
      </c>
      <c r="AQ2" s="55"/>
      <c r="AR2" s="56"/>
      <c r="AS2" s="57"/>
      <c r="AT2" s="57"/>
      <c r="AU2" s="58"/>
      <c r="AV2" s="9"/>
      <c r="AW2" s="59"/>
      <c r="AX2" s="60"/>
      <c r="AY2" s="61"/>
      <c r="AZ2" s="62"/>
      <c r="BA2" s="62"/>
      <c r="BB2" s="61"/>
      <c r="BC2" s="63"/>
      <c r="BD2" s="64"/>
      <c r="BE2" s="65"/>
      <c r="BF2" s="66"/>
      <c r="BG2" s="65"/>
      <c r="BH2" s="67"/>
      <c r="BI2" s="1"/>
      <c r="BJ2" s="68"/>
      <c r="BK2" s="63"/>
      <c r="BL2" s="69"/>
      <c r="BM2" s="70"/>
      <c r="BN2" s="59"/>
      <c r="BO2" s="71"/>
      <c r="BP2" s="72"/>
      <c r="BQ2" s="73"/>
      <c r="BR2" s="74"/>
      <c r="BS2" s="67"/>
      <c r="BT2">
        <v>56</v>
      </c>
      <c r="BU2" s="75">
        <v>35</v>
      </c>
      <c r="BV2">
        <v>6</v>
      </c>
      <c r="BW2">
        <v>2</v>
      </c>
      <c r="BX2">
        <v>2</v>
      </c>
      <c r="BY2">
        <v>3</v>
      </c>
      <c r="BZ2">
        <v>2</v>
      </c>
      <c r="CA2">
        <v>3</v>
      </c>
      <c r="CB2">
        <v>3</v>
      </c>
      <c r="CC2">
        <v>6</v>
      </c>
      <c r="CD2">
        <v>8</v>
      </c>
      <c r="CE2">
        <v>10</v>
      </c>
      <c r="CF2">
        <v>12</v>
      </c>
      <c r="CG2">
        <v>15</v>
      </c>
      <c r="CH2" t="b">
        <v>1</v>
      </c>
      <c r="CI2" s="2" t="b">
        <v>1</v>
      </c>
      <c r="CJ2" s="76">
        <v>43647</v>
      </c>
      <c r="CK2" s="76">
        <v>43679</v>
      </c>
      <c r="CL2" t="s">
        <v>125</v>
      </c>
      <c r="CM2" t="b">
        <v>1</v>
      </c>
      <c r="CN2" t="b">
        <v>1</v>
      </c>
      <c r="CO2" t="b">
        <v>1</v>
      </c>
      <c r="CP2" t="b">
        <v>1</v>
      </c>
      <c r="CQ2" t="b">
        <v>1</v>
      </c>
      <c r="CR2">
        <v>2000</v>
      </c>
      <c r="CS2">
        <v>2050</v>
      </c>
      <c r="CT2" s="22">
        <v>36526</v>
      </c>
      <c r="CU2" s="22">
        <v>54789</v>
      </c>
      <c r="CV2" s="22">
        <v>45950</v>
      </c>
      <c r="CW2" t="b">
        <v>0</v>
      </c>
      <c r="CX2" t="b">
        <v>0</v>
      </c>
      <c r="CY2" t="b">
        <v>0</v>
      </c>
      <c r="CZ2" t="b">
        <v>1</v>
      </c>
      <c r="DA2" t="b">
        <v>1</v>
      </c>
      <c r="DB2" t="s">
        <v>348</v>
      </c>
      <c r="DC2" t="b">
        <v>0</v>
      </c>
      <c r="LO2" s="2">
        <v>1</v>
      </c>
      <c r="LP2" t="s">
        <v>346</v>
      </c>
      <c r="LQ2" s="12" t="s">
        <v>398</v>
      </c>
      <c r="LR2" s="12" t="s">
        <v>399</v>
      </c>
      <c r="LS2" s="12" t="s">
        <v>347</v>
      </c>
      <c r="LT2" t="s">
        <v>349</v>
      </c>
      <c r="LV2" s="76">
        <v>45950</v>
      </c>
    </row>
    <row r="3" spans="1:334" x14ac:dyDescent="0.25">
      <c r="AO3" t="s">
        <v>76</v>
      </c>
      <c r="AQ3" s="55"/>
      <c r="AR3" s="77"/>
      <c r="AS3" s="57"/>
      <c r="AT3" s="108"/>
      <c r="AU3" s="58"/>
      <c r="AV3" s="9"/>
      <c r="AW3" s="59"/>
      <c r="AX3" s="78"/>
      <c r="AY3" s="64"/>
      <c r="AZ3" s="62"/>
      <c r="BA3" s="62"/>
      <c r="BB3" s="109"/>
      <c r="BC3" s="79"/>
      <c r="BD3" s="64"/>
      <c r="BE3" s="65"/>
      <c r="BF3" s="66"/>
      <c r="BG3" s="65"/>
      <c r="BH3" s="80"/>
      <c r="BI3" s="79"/>
      <c r="BJ3" s="1"/>
      <c r="BK3" s="79"/>
      <c r="BL3" s="81"/>
      <c r="BM3" s="82"/>
      <c r="BN3" s="59"/>
      <c r="BO3" s="71"/>
      <c r="BP3" s="72"/>
      <c r="BQ3" s="73"/>
      <c r="BR3" s="74"/>
      <c r="BS3" s="67"/>
    </row>
    <row r="4" spans="1:334" x14ac:dyDescent="0.25">
      <c r="AO4" t="s">
        <v>78</v>
      </c>
      <c r="AQ4" s="80"/>
      <c r="AR4" s="73"/>
      <c r="AS4" s="83"/>
      <c r="AT4" s="83"/>
      <c r="AU4" s="84"/>
      <c r="AV4" s="77"/>
      <c r="AW4" s="59"/>
      <c r="AX4" s="85"/>
      <c r="AY4" s="86"/>
      <c r="AZ4" s="87"/>
      <c r="BA4" s="87"/>
      <c r="BB4" s="83"/>
      <c r="BC4" s="80"/>
      <c r="BD4" s="64"/>
      <c r="BE4" s="65"/>
      <c r="BF4" s="66"/>
      <c r="BG4" s="65"/>
      <c r="BH4" s="88"/>
      <c r="BI4" s="89"/>
      <c r="BL4" s="81"/>
      <c r="BM4" s="90"/>
      <c r="BN4" s="59"/>
      <c r="BO4" s="71"/>
      <c r="BP4" s="72"/>
      <c r="BQ4" s="73"/>
      <c r="BR4" s="74"/>
      <c r="BS4" s="67"/>
    </row>
    <row r="5" spans="1:334" x14ac:dyDescent="0.25">
      <c r="AO5" t="s">
        <v>75</v>
      </c>
      <c r="AQ5" s="91"/>
      <c r="AR5" s="92"/>
      <c r="AS5" s="93"/>
      <c r="AT5" s="93"/>
      <c r="AU5" s="94"/>
      <c r="AV5" s="95"/>
      <c r="AW5" s="59"/>
      <c r="AX5" s="78"/>
      <c r="AY5" s="96"/>
      <c r="AZ5" s="97"/>
      <c r="BA5" s="97"/>
      <c r="BB5" s="81"/>
      <c r="BC5" s="98"/>
      <c r="BD5" s="64"/>
      <c r="BE5" s="65"/>
      <c r="BF5" s="66"/>
      <c r="BG5" s="65"/>
      <c r="BH5" s="99"/>
      <c r="BI5" s="100"/>
      <c r="BJ5" s="90"/>
      <c r="BK5" s="1"/>
      <c r="BL5" s="81"/>
      <c r="BM5" s="90"/>
      <c r="BN5" s="59"/>
      <c r="BO5" s="71"/>
      <c r="BP5" s="72"/>
      <c r="BQ5" s="73"/>
      <c r="BR5" s="74"/>
      <c r="BS5" s="67"/>
    </row>
    <row r="6" spans="1:334" x14ac:dyDescent="0.25">
      <c r="AO6" t="s">
        <v>79</v>
      </c>
      <c r="AQ6" s="55"/>
      <c r="AR6" s="77"/>
      <c r="AS6" s="57"/>
      <c r="AT6" s="108"/>
      <c r="AU6" s="58"/>
      <c r="AV6" s="9"/>
      <c r="AW6" s="59"/>
      <c r="AX6" s="78"/>
      <c r="AY6" s="64"/>
      <c r="AZ6" s="62"/>
      <c r="BA6" s="62"/>
      <c r="BB6" s="109"/>
      <c r="BC6" s="79"/>
      <c r="BD6" s="64"/>
      <c r="BE6" s="65"/>
      <c r="BF6" s="66"/>
      <c r="BG6" s="65"/>
      <c r="BH6" s="80"/>
      <c r="BI6" s="79"/>
      <c r="BJ6" s="1"/>
      <c r="BK6" s="79"/>
      <c r="BL6" s="81"/>
      <c r="BM6" s="82"/>
      <c r="BN6" s="59"/>
      <c r="BO6" s="71"/>
      <c r="BP6" s="72"/>
      <c r="BQ6" s="73"/>
      <c r="BR6" s="74"/>
      <c r="BS6" s="67"/>
    </row>
    <row r="7" spans="1:334" x14ac:dyDescent="0.25">
      <c r="AQ7" s="55"/>
      <c r="AR7" s="77"/>
      <c r="AS7" s="57"/>
      <c r="AT7" s="108"/>
      <c r="AU7" s="58"/>
      <c r="AV7" s="9"/>
      <c r="AW7" s="59"/>
      <c r="AX7" s="78"/>
      <c r="AY7" s="64"/>
      <c r="AZ7" s="62"/>
      <c r="BA7" s="62"/>
      <c r="BB7" s="109"/>
      <c r="BC7" s="79"/>
      <c r="BD7" s="64"/>
      <c r="BE7" s="65"/>
      <c r="BF7" s="66"/>
      <c r="BG7" s="65"/>
      <c r="BH7" s="80"/>
      <c r="BI7" s="79"/>
      <c r="BJ7" s="1"/>
      <c r="BK7" s="79"/>
      <c r="BL7" s="81"/>
      <c r="BM7" s="82"/>
      <c r="BN7" s="59"/>
      <c r="BO7" s="71"/>
      <c r="BP7" s="72"/>
      <c r="BQ7" s="73"/>
      <c r="BR7" s="74"/>
      <c r="BS7" s="6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B0733-4B0B-4459-A7C3-56D0BD0DDBB5}">
  <sheetPr codeName="PVS"/>
  <dimension ref="A1:BU13"/>
  <sheetViews>
    <sheetView workbookViewId="0">
      <selection activeCell="B2" sqref="B2"/>
    </sheetView>
  </sheetViews>
  <sheetFormatPr defaultRowHeight="13.8" x14ac:dyDescent="0.25"/>
  <cols>
    <col min="1" max="1" width="13.09765625" bestFit="1" customWidth="1"/>
    <col min="2" max="2" width="17.8984375" bestFit="1" customWidth="1"/>
    <col min="6" max="8" width="9.296875"/>
    <col min="10" max="10" width="13.296875" bestFit="1" customWidth="1"/>
    <col min="11" max="11" width="13.09765625" bestFit="1" customWidth="1"/>
    <col min="12" max="12" width="17.8984375" bestFit="1" customWidth="1"/>
    <col min="13" max="13" width="8.69921875" bestFit="1" customWidth="1"/>
    <col min="14" max="14" width="8.296875" bestFit="1" customWidth="1"/>
    <col min="15" max="17" width="8.296875" customWidth="1"/>
    <col min="18" max="18" width="11.296875" bestFit="1" customWidth="1"/>
    <col min="21" max="21" width="14.296875" bestFit="1" customWidth="1"/>
    <col min="22" max="22" width="17.8984375" bestFit="1" customWidth="1"/>
    <col min="23" max="23" width="11" bestFit="1" customWidth="1"/>
    <col min="24" max="26" width="11" customWidth="1"/>
    <col min="27" max="27" width="11" bestFit="1" customWidth="1"/>
    <col min="31" max="31" width="12" bestFit="1" customWidth="1"/>
    <col min="32" max="32" width="17.8984375" bestFit="1" customWidth="1"/>
    <col min="33" max="33" width="31.296875" bestFit="1" customWidth="1"/>
    <col min="34" max="35" width="31.296875" customWidth="1"/>
    <col min="36" max="36" width="31.296875" bestFit="1" customWidth="1"/>
    <col min="37" max="37" width="33.296875" bestFit="1" customWidth="1"/>
    <col min="38" max="39" width="36.296875" bestFit="1" customWidth="1"/>
    <col min="40" max="40" width="14.296875" bestFit="1" customWidth="1"/>
    <col min="41" max="41" width="22.296875" bestFit="1" customWidth="1"/>
    <col min="42" max="42" width="13.09765625" bestFit="1" customWidth="1"/>
    <col min="43" max="43" width="17.8984375" bestFit="1" customWidth="1"/>
    <col min="47" max="49" width="9.296875"/>
    <col min="53" max="53" width="13.09765625" bestFit="1" customWidth="1"/>
    <col min="54" max="54" width="17.8984375" bestFit="1" customWidth="1"/>
    <col min="57" max="59" width="9.296875"/>
    <col min="63" max="63" width="12" bestFit="1" customWidth="1"/>
    <col min="64" max="64" width="17.8984375" bestFit="1" customWidth="1"/>
    <col min="66" max="70" width="9.296875"/>
    <col min="72" max="72" width="12" bestFit="1" customWidth="1"/>
    <col min="73" max="73" width="17.8984375" bestFit="1" customWidth="1"/>
    <col min="76" max="76" width="12" bestFit="1" customWidth="1"/>
    <col min="77" max="77" width="17.69921875" bestFit="1" customWidth="1"/>
    <col min="81" max="81" width="12" bestFit="1" customWidth="1"/>
    <col min="82" max="82" width="17.69921875" bestFit="1" customWidth="1"/>
  </cols>
  <sheetData>
    <row r="1" spans="1:73" x14ac:dyDescent="0.25">
      <c r="A1" s="25" t="s">
        <v>206</v>
      </c>
      <c r="B1" t="s">
        <v>239</v>
      </c>
      <c r="K1" s="25" t="s">
        <v>206</v>
      </c>
      <c r="L1" t="s">
        <v>239</v>
      </c>
      <c r="U1" s="25" t="s">
        <v>206</v>
      </c>
      <c r="V1" t="s">
        <v>210</v>
      </c>
      <c r="AE1" s="25" t="s">
        <v>206</v>
      </c>
      <c r="AF1" t="s">
        <v>210</v>
      </c>
      <c r="AP1" s="25" t="s">
        <v>206</v>
      </c>
      <c r="AQ1" t="s">
        <v>210</v>
      </c>
      <c r="BA1" s="25" t="s">
        <v>206</v>
      </c>
      <c r="BB1" t="s">
        <v>210</v>
      </c>
      <c r="BK1" s="25" t="s">
        <v>206</v>
      </c>
      <c r="BL1" t="s">
        <v>210</v>
      </c>
      <c r="BT1" s="25" t="s">
        <v>206</v>
      </c>
      <c r="BU1" t="s">
        <v>210</v>
      </c>
    </row>
    <row r="2" spans="1:73" x14ac:dyDescent="0.25">
      <c r="A2" s="25" t="s">
        <v>162</v>
      </c>
      <c r="B2" t="s">
        <v>210</v>
      </c>
      <c r="K2" s="25" t="s">
        <v>162</v>
      </c>
      <c r="L2" t="s">
        <v>210</v>
      </c>
      <c r="U2" s="25" t="s">
        <v>162</v>
      </c>
      <c r="V2" t="s">
        <v>210</v>
      </c>
      <c r="AE2" s="25" t="s">
        <v>225</v>
      </c>
      <c r="AF2" t="s">
        <v>210</v>
      </c>
      <c r="AP2" s="25" t="s">
        <v>162</v>
      </c>
      <c r="AQ2" t="s">
        <v>210</v>
      </c>
      <c r="BA2" s="25" t="s">
        <v>162</v>
      </c>
      <c r="BB2" t="s">
        <v>210</v>
      </c>
      <c r="BK2" s="25" t="s">
        <v>162</v>
      </c>
      <c r="BL2" t="s">
        <v>210</v>
      </c>
      <c r="BT2" s="25" t="s">
        <v>162</v>
      </c>
      <c r="BU2" t="s">
        <v>210</v>
      </c>
    </row>
    <row r="4" spans="1:73" x14ac:dyDescent="0.25">
      <c r="A4" s="25" t="s">
        <v>207</v>
      </c>
      <c r="B4" t="s">
        <v>208</v>
      </c>
      <c r="K4" s="25" t="s">
        <v>207</v>
      </c>
      <c r="L4" t="s">
        <v>208</v>
      </c>
      <c r="U4" s="25" t="s">
        <v>209</v>
      </c>
      <c r="AP4" s="25" t="s">
        <v>207</v>
      </c>
      <c r="AQ4" t="s">
        <v>208</v>
      </c>
      <c r="BA4" s="25" t="s">
        <v>207</v>
      </c>
    </row>
    <row r="5" spans="1:73" x14ac:dyDescent="0.25">
      <c r="A5" s="26" t="s">
        <v>56</v>
      </c>
      <c r="B5">
        <v>5</v>
      </c>
      <c r="K5" s="26" t="s">
        <v>266</v>
      </c>
      <c r="L5">
        <v>1</v>
      </c>
      <c r="U5" s="26" t="s">
        <v>183</v>
      </c>
      <c r="V5" s="52">
        <v>325000</v>
      </c>
      <c r="AP5" s="107" t="s">
        <v>277</v>
      </c>
      <c r="AQ5">
        <v>1</v>
      </c>
      <c r="BA5" s="26" t="s">
        <v>251</v>
      </c>
    </row>
    <row r="6" spans="1:73" x14ac:dyDescent="0.25">
      <c r="A6" s="26" t="s">
        <v>59</v>
      </c>
      <c r="B6">
        <v>6</v>
      </c>
      <c r="K6" s="26" t="s">
        <v>259</v>
      </c>
      <c r="L6">
        <v>1</v>
      </c>
      <c r="U6" s="26" t="s">
        <v>211</v>
      </c>
      <c r="V6" s="52">
        <v>318000</v>
      </c>
      <c r="AP6" s="107" t="s">
        <v>337</v>
      </c>
      <c r="AQ6">
        <v>1</v>
      </c>
      <c r="BA6" s="26" t="s">
        <v>256</v>
      </c>
    </row>
    <row r="7" spans="1:73" x14ac:dyDescent="0.25">
      <c r="K7" s="26" t="s">
        <v>159</v>
      </c>
      <c r="L7">
        <v>9</v>
      </c>
      <c r="U7" s="26" t="s">
        <v>184</v>
      </c>
      <c r="V7" s="52">
        <v>171100</v>
      </c>
      <c r="AP7" s="107" t="s">
        <v>338</v>
      </c>
      <c r="AQ7">
        <v>1</v>
      </c>
      <c r="BA7" s="26" t="s">
        <v>255</v>
      </c>
    </row>
    <row r="8" spans="1:73" x14ac:dyDescent="0.25">
      <c r="AP8" s="107" t="s">
        <v>336</v>
      </c>
      <c r="AQ8">
        <v>2</v>
      </c>
      <c r="BA8" s="26" t="s">
        <v>254</v>
      </c>
    </row>
    <row r="9" spans="1:73" x14ac:dyDescent="0.25">
      <c r="AP9" s="107" t="s">
        <v>339</v>
      </c>
      <c r="AQ9">
        <v>1</v>
      </c>
      <c r="BA9" s="26" t="s">
        <v>252</v>
      </c>
    </row>
    <row r="10" spans="1:73" x14ac:dyDescent="0.25">
      <c r="AP10" s="107" t="s">
        <v>340</v>
      </c>
      <c r="AQ10">
        <v>1</v>
      </c>
      <c r="BA10" s="26" t="s">
        <v>253</v>
      </c>
    </row>
    <row r="11" spans="1:73" x14ac:dyDescent="0.25">
      <c r="AP11" s="107" t="s">
        <v>341</v>
      </c>
      <c r="AQ11">
        <v>1</v>
      </c>
      <c r="BA11" s="26" t="s">
        <v>278</v>
      </c>
    </row>
    <row r="12" spans="1:73" x14ac:dyDescent="0.25">
      <c r="AP12" s="107" t="s">
        <v>342</v>
      </c>
      <c r="AQ12">
        <v>2</v>
      </c>
    </row>
    <row r="13" spans="1:73" x14ac:dyDescent="0.25">
      <c r="AP13" s="107" t="s">
        <v>343</v>
      </c>
      <c r="AQ13">
        <v>1</v>
      </c>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6B971-C80F-43A5-9646-F92D82C40EEB}">
  <dimension ref="A1:DB44"/>
  <sheetViews>
    <sheetView showGridLines="0" showRowColHeaders="0" tabSelected="1" topLeftCell="H6" zoomScaleNormal="100" workbookViewId="0">
      <selection activeCell="K10" sqref="K10"/>
    </sheetView>
  </sheetViews>
  <sheetFormatPr defaultColWidth="0" defaultRowHeight="13.8" x14ac:dyDescent="0.25"/>
  <cols>
    <col min="1" max="7" width="0" style="113" hidden="1" customWidth="1"/>
    <col min="8" max="9" width="2.69921875" style="113" customWidth="1"/>
    <col min="10" max="10" width="6.69921875" style="115" customWidth="1"/>
    <col min="11" max="11" width="45.69921875" style="115" customWidth="1"/>
    <col min="12" max="12" width="10.69921875" style="117" customWidth="1"/>
    <col min="13" max="13" width="10.69921875" style="113" hidden="1" customWidth="1"/>
    <col min="14" max="14" width="15.69921875" style="115" customWidth="1"/>
    <col min="15" max="18" width="15.69921875" style="116" hidden="1" customWidth="1"/>
    <col min="19" max="20" width="15.69921875" style="116" customWidth="1"/>
    <col min="21" max="21" width="10.69921875" style="116" customWidth="1"/>
    <col min="22" max="23" width="15.69921875" style="115" hidden="1" customWidth="1"/>
    <col min="24" max="24" width="15.69921875" style="116" hidden="1" customWidth="1"/>
    <col min="25" max="25" width="5.69921875" style="113" customWidth="1"/>
    <col min="26" max="26" width="10.69921875" style="114" customWidth="1"/>
    <col min="27" max="32" width="15.69921875" style="116" hidden="1" customWidth="1"/>
    <col min="33" max="33" width="15.69921875" style="121" hidden="1" customWidth="1"/>
    <col min="34" max="57" width="15.69921875" style="113" hidden="1" customWidth="1"/>
    <col min="58" max="60" width="15.69921875" style="123" hidden="1" customWidth="1"/>
    <col min="61" max="61" width="2.69921875" style="113" customWidth="1"/>
    <col min="62" max="96" width="3.69921875" customWidth="1"/>
    <col min="97" max="97" width="2.69921875" customWidth="1"/>
    <col min="98" max="16384" width="10.69921875" hidden="1"/>
  </cols>
  <sheetData>
    <row r="1" spans="1:106" hidden="1" x14ac:dyDescent="0.25">
      <c r="A1" s="113" t="s">
        <v>225</v>
      </c>
      <c r="B1" s="113" t="s">
        <v>217</v>
      </c>
      <c r="C1" s="113" t="s">
        <v>218</v>
      </c>
      <c r="D1" s="113" t="s">
        <v>219</v>
      </c>
      <c r="E1" s="113" t="s">
        <v>220</v>
      </c>
      <c r="F1" s="113" t="s">
        <v>221</v>
      </c>
      <c r="G1" s="113" t="s">
        <v>155</v>
      </c>
      <c r="H1" s="113" t="s">
        <v>156</v>
      </c>
      <c r="I1" s="113" t="s">
        <v>222</v>
      </c>
      <c r="J1" s="115" t="s">
        <v>27</v>
      </c>
      <c r="K1" s="115" t="s">
        <v>26</v>
      </c>
      <c r="L1" s="117" t="s">
        <v>133</v>
      </c>
      <c r="M1" s="113" t="s">
        <v>134</v>
      </c>
      <c r="N1" s="115" t="s">
        <v>216</v>
      </c>
      <c r="O1" s="116" t="s">
        <v>223</v>
      </c>
      <c r="P1" s="116" t="s">
        <v>25</v>
      </c>
      <c r="Q1" s="116" t="s">
        <v>24</v>
      </c>
      <c r="R1" s="116" t="s">
        <v>23</v>
      </c>
      <c r="S1" s="116" t="s">
        <v>22</v>
      </c>
      <c r="T1" s="116" t="s">
        <v>20</v>
      </c>
      <c r="U1" s="116" t="s">
        <v>18</v>
      </c>
      <c r="V1" s="115" t="s">
        <v>230</v>
      </c>
      <c r="W1" s="115" t="s">
        <v>231</v>
      </c>
      <c r="X1" s="116" t="s">
        <v>214</v>
      </c>
      <c r="Y1" s="113" t="s">
        <v>224</v>
      </c>
      <c r="Z1" s="114" t="s">
        <v>17</v>
      </c>
      <c r="AA1" s="116" t="s">
        <v>21</v>
      </c>
      <c r="AB1" s="116" t="s">
        <v>19</v>
      </c>
      <c r="AC1" s="116" t="s">
        <v>16</v>
      </c>
      <c r="AD1" s="116" t="s">
        <v>15</v>
      </c>
      <c r="AE1" s="116" t="s">
        <v>14</v>
      </c>
      <c r="AF1" s="116" t="s">
        <v>13</v>
      </c>
      <c r="AG1" s="121" t="s">
        <v>12</v>
      </c>
      <c r="AH1" s="113" t="s">
        <v>380</v>
      </c>
      <c r="AI1" s="113" t="s">
        <v>382</v>
      </c>
      <c r="AJ1" s="113" t="s">
        <v>384</v>
      </c>
      <c r="AK1" s="113" t="s">
        <v>386</v>
      </c>
      <c r="AL1" s="113" t="s">
        <v>163</v>
      </c>
      <c r="AM1" s="113" t="s">
        <v>164</v>
      </c>
      <c r="AN1" s="113" t="s">
        <v>165</v>
      </c>
      <c r="AO1" s="113" t="s">
        <v>166</v>
      </c>
      <c r="AP1" s="113" t="s">
        <v>167</v>
      </c>
      <c r="AQ1" s="113" t="s">
        <v>168</v>
      </c>
      <c r="AR1" s="113" t="s">
        <v>169</v>
      </c>
      <c r="AS1" s="113" t="s">
        <v>170</v>
      </c>
      <c r="AT1" s="113" t="s">
        <v>171</v>
      </c>
      <c r="AU1" s="113" t="s">
        <v>172</v>
      </c>
      <c r="AV1" s="113" t="s">
        <v>173</v>
      </c>
      <c r="AW1" s="113" t="s">
        <v>174</v>
      </c>
      <c r="AX1" s="113" t="s">
        <v>175</v>
      </c>
      <c r="AY1" s="113" t="s">
        <v>176</v>
      </c>
      <c r="AZ1" s="113" t="s">
        <v>177</v>
      </c>
      <c r="BA1" s="113" t="s">
        <v>178</v>
      </c>
      <c r="BB1" s="113" t="s">
        <v>179</v>
      </c>
      <c r="BC1" s="113" t="s">
        <v>180</v>
      </c>
      <c r="BD1" s="113" t="s">
        <v>181</v>
      </c>
      <c r="BE1" s="113" t="s">
        <v>182</v>
      </c>
      <c r="BF1" s="123" t="s">
        <v>388</v>
      </c>
      <c r="BG1" s="123" t="s">
        <v>389</v>
      </c>
      <c r="BH1" s="123" t="s">
        <v>390</v>
      </c>
      <c r="BI1" s="113" t="s">
        <v>157</v>
      </c>
      <c r="BJ1" t="s">
        <v>391</v>
      </c>
      <c r="CR1" t="s">
        <v>392</v>
      </c>
      <c r="CS1" t="s">
        <v>393</v>
      </c>
    </row>
    <row r="2" spans="1:106" hidden="1" x14ac:dyDescent="0.25">
      <c r="A2" s="113" t="s">
        <v>365</v>
      </c>
      <c r="B2" s="113" t="s">
        <v>365</v>
      </c>
      <c r="C2" s="113" t="s">
        <v>365</v>
      </c>
      <c r="D2" s="113" t="s">
        <v>365</v>
      </c>
      <c r="E2" s="113" t="s">
        <v>365</v>
      </c>
      <c r="F2" s="113" t="s">
        <v>365</v>
      </c>
      <c r="G2" s="113" t="s">
        <v>365</v>
      </c>
      <c r="H2" s="113" t="s">
        <v>394</v>
      </c>
      <c r="I2" s="113" t="s">
        <v>365</v>
      </c>
      <c r="J2" s="115" t="s">
        <v>365</v>
      </c>
      <c r="K2" s="115" t="s">
        <v>365</v>
      </c>
      <c r="L2" s="117" t="s">
        <v>365</v>
      </c>
      <c r="M2" s="113" t="s">
        <v>365</v>
      </c>
      <c r="N2" s="115" t="s">
        <v>365</v>
      </c>
      <c r="O2" s="116" t="s">
        <v>365</v>
      </c>
      <c r="P2" s="116" t="s">
        <v>365</v>
      </c>
      <c r="Q2" s="116" t="s">
        <v>365</v>
      </c>
      <c r="R2" s="116" t="s">
        <v>365</v>
      </c>
      <c r="S2" s="116" t="s">
        <v>365</v>
      </c>
      <c r="T2" s="116" t="s">
        <v>365</v>
      </c>
      <c r="U2" s="116" t="s">
        <v>365</v>
      </c>
      <c r="V2" s="115" t="s">
        <v>365</v>
      </c>
      <c r="W2" s="115" t="s">
        <v>365</v>
      </c>
      <c r="X2" s="116" t="s">
        <v>365</v>
      </c>
      <c r="Y2" s="113" t="s">
        <v>365</v>
      </c>
      <c r="Z2" s="114" t="s">
        <v>365</v>
      </c>
      <c r="AA2" s="116" t="s">
        <v>365</v>
      </c>
      <c r="AB2" s="116" t="s">
        <v>365</v>
      </c>
      <c r="AC2" s="116" t="s">
        <v>365</v>
      </c>
      <c r="AD2" s="116" t="s">
        <v>365</v>
      </c>
      <c r="AE2" s="116" t="s">
        <v>365</v>
      </c>
      <c r="AF2" s="116" t="s">
        <v>365</v>
      </c>
      <c r="AG2" s="121" t="s">
        <v>365</v>
      </c>
      <c r="AH2" s="113" t="s">
        <v>365</v>
      </c>
      <c r="AI2" s="113" t="s">
        <v>365</v>
      </c>
      <c r="AJ2" s="113" t="s">
        <v>365</v>
      </c>
      <c r="AK2" s="113" t="s">
        <v>365</v>
      </c>
      <c r="AL2" s="113" t="s">
        <v>163</v>
      </c>
      <c r="AM2" s="113" t="s">
        <v>164</v>
      </c>
      <c r="AN2" s="113" t="s">
        <v>165</v>
      </c>
      <c r="AO2" s="113" t="s">
        <v>166</v>
      </c>
      <c r="AP2" s="113" t="s">
        <v>167</v>
      </c>
      <c r="AQ2" s="113" t="s">
        <v>168</v>
      </c>
      <c r="AR2" s="113" t="s">
        <v>169</v>
      </c>
      <c r="AS2" s="113" t="s">
        <v>170</v>
      </c>
      <c r="AT2" s="113" t="s">
        <v>171</v>
      </c>
      <c r="AU2" s="113" t="s">
        <v>172</v>
      </c>
      <c r="AV2" s="113" t="s">
        <v>173</v>
      </c>
      <c r="AW2" s="113" t="s">
        <v>174</v>
      </c>
      <c r="AX2" s="113" t="s">
        <v>175</v>
      </c>
      <c r="AY2" s="113" t="s">
        <v>176</v>
      </c>
      <c r="AZ2" s="113" t="s">
        <v>177</v>
      </c>
      <c r="BA2" s="113" t="s">
        <v>178</v>
      </c>
      <c r="BB2" s="113" t="s">
        <v>179</v>
      </c>
      <c r="BC2" s="113" t="s">
        <v>180</v>
      </c>
      <c r="BD2" s="113" t="s">
        <v>181</v>
      </c>
      <c r="BE2" s="113" t="s">
        <v>182</v>
      </c>
      <c r="BF2" s="123" t="s">
        <v>365</v>
      </c>
      <c r="BG2" s="123" t="s">
        <v>365</v>
      </c>
      <c r="BH2" s="123" t="s">
        <v>365</v>
      </c>
      <c r="BI2" s="113" t="s">
        <v>365</v>
      </c>
    </row>
    <row r="3" spans="1:106" hidden="1" x14ac:dyDescent="0.25"/>
    <row r="4" spans="1:106" hidden="1" x14ac:dyDescent="0.25"/>
    <row r="5" spans="1:106" hidden="1" x14ac:dyDescent="0.25"/>
    <row r="6" spans="1:106" ht="30" customHeight="1" x14ac:dyDescent="0.25">
      <c r="H6" s="141"/>
      <c r="I6" s="141"/>
      <c r="J6" s="142" t="s">
        <v>421</v>
      </c>
      <c r="K6" s="143"/>
      <c r="L6" s="143"/>
      <c r="M6" s="143"/>
      <c r="N6" s="143"/>
      <c r="O6" s="143"/>
      <c r="P6" s="143"/>
      <c r="Q6" s="143"/>
      <c r="R6" s="143"/>
      <c r="S6" s="143"/>
      <c r="T6" s="143"/>
      <c r="U6" s="143"/>
      <c r="V6" s="143"/>
      <c r="W6" s="143"/>
      <c r="X6" s="143"/>
      <c r="Y6" s="143"/>
      <c r="Z6" s="144"/>
      <c r="AA6" s="143"/>
      <c r="AB6" s="143"/>
      <c r="AC6" s="143"/>
      <c r="AD6" s="143"/>
      <c r="AE6" s="143"/>
      <c r="AF6" s="143"/>
      <c r="AG6" s="145"/>
      <c r="AH6" s="143"/>
      <c r="AI6" s="143"/>
      <c r="AJ6" s="143"/>
      <c r="AK6" s="143"/>
      <c r="AL6" s="143"/>
      <c r="AM6" s="143"/>
      <c r="AN6" s="143"/>
      <c r="AO6" s="143"/>
      <c r="AP6" s="143"/>
      <c r="AQ6" s="143"/>
      <c r="AR6" s="143"/>
      <c r="AS6" s="143"/>
      <c r="AT6" s="143"/>
      <c r="AU6" s="143"/>
      <c r="AV6" s="143"/>
      <c r="AW6" s="143"/>
      <c r="AX6" s="143"/>
      <c r="AY6" s="143"/>
      <c r="AZ6" s="143"/>
      <c r="BA6" s="143"/>
      <c r="BB6" s="143"/>
      <c r="BC6" s="143"/>
      <c r="BD6" s="143"/>
      <c r="BE6" s="143"/>
      <c r="BF6" s="146"/>
      <c r="BG6" s="146"/>
      <c r="BH6" s="146"/>
      <c r="BI6" s="149"/>
      <c r="BJ6" s="147">
        <v>45950</v>
      </c>
      <c r="BK6" s="147">
        <v>45951</v>
      </c>
      <c r="BL6" s="147">
        <v>45952</v>
      </c>
      <c r="BM6" s="147">
        <v>45953</v>
      </c>
      <c r="BN6" s="147">
        <v>45954</v>
      </c>
      <c r="BO6" s="147">
        <v>45955</v>
      </c>
      <c r="BP6" s="147">
        <v>45956</v>
      </c>
      <c r="BQ6" s="147">
        <v>45957</v>
      </c>
      <c r="BR6" s="147">
        <v>45958</v>
      </c>
      <c r="BS6" s="147">
        <v>45959</v>
      </c>
      <c r="BT6" s="147">
        <v>45960</v>
      </c>
      <c r="BU6" s="147">
        <v>45961</v>
      </c>
      <c r="BV6" s="147">
        <v>45962</v>
      </c>
      <c r="BW6" s="147">
        <v>45963</v>
      </c>
      <c r="BX6" s="147">
        <v>45964</v>
      </c>
      <c r="BY6" s="147">
        <v>45965</v>
      </c>
      <c r="BZ6" s="147">
        <v>45966</v>
      </c>
      <c r="CA6" s="147">
        <v>45967</v>
      </c>
      <c r="CB6" s="147">
        <v>45968</v>
      </c>
      <c r="CC6" s="147">
        <v>45969</v>
      </c>
      <c r="CD6" s="147">
        <v>45970</v>
      </c>
      <c r="CE6" s="147">
        <v>45971</v>
      </c>
      <c r="CF6" s="147">
        <v>45972</v>
      </c>
      <c r="CG6" s="147">
        <v>45973</v>
      </c>
      <c r="CH6" s="147">
        <v>45974</v>
      </c>
      <c r="CI6" s="147">
        <v>45975</v>
      </c>
      <c r="CJ6" s="147">
        <v>45976</v>
      </c>
      <c r="CK6" s="147">
        <v>45977</v>
      </c>
      <c r="CL6" s="147">
        <v>45978</v>
      </c>
      <c r="CM6" s="147">
        <v>45979</v>
      </c>
      <c r="CN6" s="147">
        <v>45980</v>
      </c>
      <c r="CO6" s="147">
        <v>45981</v>
      </c>
      <c r="CP6" s="147">
        <v>45982</v>
      </c>
      <c r="CQ6" s="147">
        <v>45983</v>
      </c>
      <c r="CR6" s="147">
        <v>45984</v>
      </c>
      <c r="CS6" s="147"/>
    </row>
    <row r="7" spans="1:106" x14ac:dyDescent="0.25">
      <c r="J7" s="118" t="s">
        <v>397</v>
      </c>
      <c r="K7" s="118"/>
      <c r="L7" s="119"/>
      <c r="M7" s="118"/>
      <c r="N7" s="118"/>
      <c r="O7" s="118"/>
      <c r="P7" s="118"/>
      <c r="Q7" s="118"/>
      <c r="R7" s="118"/>
      <c r="S7" s="118"/>
      <c r="T7" s="118"/>
      <c r="U7" s="118"/>
      <c r="V7" s="118"/>
      <c r="W7" s="118"/>
      <c r="X7" s="118"/>
      <c r="Y7" s="118"/>
      <c r="Z7" s="120"/>
      <c r="AA7" s="118"/>
      <c r="AB7" s="118"/>
      <c r="AC7" s="118"/>
      <c r="AD7" s="118"/>
      <c r="AE7" s="118"/>
      <c r="AF7" s="118"/>
      <c r="AG7" s="122"/>
      <c r="AH7" s="118"/>
      <c r="AI7" s="118"/>
      <c r="AJ7" s="118"/>
      <c r="AK7" s="118"/>
      <c r="AL7" s="118"/>
      <c r="AM7" s="118"/>
      <c r="AN7" s="118"/>
      <c r="AO7" s="118"/>
      <c r="AP7" s="118"/>
      <c r="AQ7" s="118"/>
      <c r="AR7" s="118"/>
      <c r="AS7" s="118"/>
      <c r="AT7" s="118"/>
      <c r="AU7" s="118"/>
      <c r="AV7" s="118"/>
      <c r="AW7" s="118"/>
      <c r="AX7" s="118"/>
      <c r="AY7" s="118"/>
      <c r="AZ7" s="118"/>
      <c r="BA7" s="118"/>
      <c r="BB7" s="118"/>
      <c r="BC7" s="118"/>
      <c r="BD7" s="118"/>
      <c r="BE7" s="118"/>
      <c r="BF7" s="124"/>
      <c r="BG7" s="124"/>
      <c r="BH7" s="124"/>
      <c r="BJ7" s="151" t="s">
        <v>400</v>
      </c>
      <c r="BK7" s="151"/>
      <c r="BL7" s="151"/>
      <c r="BM7" s="151"/>
      <c r="BN7" s="151"/>
      <c r="BO7" s="151"/>
      <c r="BP7" s="151"/>
      <c r="BQ7" s="152" t="s">
        <v>401</v>
      </c>
      <c r="BR7" s="152"/>
      <c r="BS7" s="152"/>
      <c r="BT7" s="152"/>
      <c r="BU7" s="152"/>
      <c r="BV7" s="152"/>
      <c r="BW7" s="152"/>
      <c r="BX7" s="151" t="s">
        <v>402</v>
      </c>
      <c r="BY7" s="151"/>
      <c r="BZ7" s="151"/>
      <c r="CA7" s="151"/>
      <c r="CB7" s="151"/>
      <c r="CC7" s="151"/>
      <c r="CD7" s="151"/>
      <c r="CE7" s="152" t="s">
        <v>403</v>
      </c>
      <c r="CF7" s="152"/>
      <c r="CG7" s="152"/>
      <c r="CH7" s="152"/>
      <c r="CI7" s="152"/>
      <c r="CJ7" s="152"/>
      <c r="CK7" s="152"/>
      <c r="CL7" s="151" t="s">
        <v>404</v>
      </c>
      <c r="CM7" s="151"/>
      <c r="CN7" s="151"/>
      <c r="CO7" s="151"/>
      <c r="CP7" s="151"/>
      <c r="CQ7" s="151"/>
      <c r="CR7" s="151"/>
    </row>
    <row r="8" spans="1:106" x14ac:dyDescent="0.25">
      <c r="H8" s="134"/>
      <c r="I8" s="135"/>
      <c r="J8" s="257" t="s">
        <v>420</v>
      </c>
      <c r="K8" s="136"/>
      <c r="L8" s="137"/>
      <c r="M8" s="136"/>
      <c r="N8" s="136"/>
      <c r="O8" s="136"/>
      <c r="P8" s="136"/>
      <c r="Q8" s="136"/>
      <c r="R8" s="136"/>
      <c r="S8" s="136"/>
      <c r="T8" s="136"/>
      <c r="U8" s="136"/>
      <c r="V8" s="136"/>
      <c r="W8" s="136"/>
      <c r="X8" s="136"/>
      <c r="Y8" s="136"/>
      <c r="Z8" s="138"/>
      <c r="AA8" s="136"/>
      <c r="AB8" s="136"/>
      <c r="AC8" s="136"/>
      <c r="AD8" s="136"/>
      <c r="AE8" s="136"/>
      <c r="AF8" s="136"/>
      <c r="AG8" s="139"/>
      <c r="AH8" s="136"/>
      <c r="AI8" s="136"/>
      <c r="AJ8" s="136"/>
      <c r="AK8" s="136"/>
      <c r="AL8" s="136"/>
      <c r="AM8" s="136"/>
      <c r="AN8" s="136"/>
      <c r="AO8" s="136"/>
      <c r="AP8" s="136"/>
      <c r="AQ8" s="136"/>
      <c r="AR8" s="136"/>
      <c r="AS8" s="136"/>
      <c r="AT8" s="136"/>
      <c r="AU8" s="136"/>
      <c r="AV8" s="136"/>
      <c r="AW8" s="136"/>
      <c r="AX8" s="136"/>
      <c r="AY8" s="136"/>
      <c r="AZ8" s="136"/>
      <c r="BA8" s="136"/>
      <c r="BB8" s="136"/>
      <c r="BC8" s="136"/>
      <c r="BD8" s="136"/>
      <c r="BE8" s="136"/>
      <c r="BF8" s="140"/>
      <c r="BG8" s="140"/>
      <c r="BH8" s="140"/>
      <c r="BI8" s="135"/>
      <c r="BJ8" s="174">
        <v>20</v>
      </c>
      <c r="BK8" s="153">
        <v>21</v>
      </c>
      <c r="BL8" s="153">
        <v>22</v>
      </c>
      <c r="BM8" s="153">
        <v>23</v>
      </c>
      <c r="BN8" s="153">
        <v>24</v>
      </c>
      <c r="BO8" s="153">
        <v>25</v>
      </c>
      <c r="BP8" s="153">
        <v>26</v>
      </c>
      <c r="BQ8" s="153">
        <v>27</v>
      </c>
      <c r="BR8" s="153">
        <v>28</v>
      </c>
      <c r="BS8" s="153">
        <v>29</v>
      </c>
      <c r="BT8" s="153">
        <v>30</v>
      </c>
      <c r="BU8" s="153">
        <v>31</v>
      </c>
      <c r="BV8" s="153">
        <v>1</v>
      </c>
      <c r="BW8" s="153">
        <v>2</v>
      </c>
      <c r="BX8" s="153">
        <v>3</v>
      </c>
      <c r="BY8" s="153">
        <v>4</v>
      </c>
      <c r="BZ8" s="153">
        <v>5</v>
      </c>
      <c r="CA8" s="153">
        <v>6</v>
      </c>
      <c r="CB8" s="153">
        <v>7</v>
      </c>
      <c r="CC8" s="153">
        <v>8</v>
      </c>
      <c r="CD8" s="153">
        <v>9</v>
      </c>
      <c r="CE8" s="153">
        <v>10</v>
      </c>
      <c r="CF8" s="153">
        <v>11</v>
      </c>
      <c r="CG8" s="153">
        <v>12</v>
      </c>
      <c r="CH8" s="153">
        <v>13</v>
      </c>
      <c r="CI8" s="153">
        <v>14</v>
      </c>
      <c r="CJ8" s="153">
        <v>15</v>
      </c>
      <c r="CK8" s="153">
        <v>16</v>
      </c>
      <c r="CL8" s="153">
        <v>17</v>
      </c>
      <c r="CM8" s="153">
        <v>18</v>
      </c>
      <c r="CN8" s="153">
        <v>19</v>
      </c>
      <c r="CO8" s="153">
        <v>20</v>
      </c>
      <c r="CP8" s="153">
        <v>21</v>
      </c>
      <c r="CQ8" s="153">
        <v>22</v>
      </c>
      <c r="CR8" s="153">
        <v>23</v>
      </c>
      <c r="CS8" s="148"/>
    </row>
    <row r="9" spans="1:106" ht="24" customHeight="1" x14ac:dyDescent="0.25">
      <c r="A9" s="113" t="s">
        <v>225</v>
      </c>
      <c r="B9" s="113" t="s">
        <v>217</v>
      </c>
      <c r="C9" s="113" t="s">
        <v>218</v>
      </c>
      <c r="D9" s="113" t="s">
        <v>219</v>
      </c>
      <c r="E9" s="113" t="s">
        <v>220</v>
      </c>
      <c r="F9" s="113" t="s">
        <v>221</v>
      </c>
      <c r="H9" s="154"/>
      <c r="I9" s="155"/>
      <c r="J9" s="155" t="s">
        <v>27</v>
      </c>
      <c r="K9" s="155" t="s">
        <v>26</v>
      </c>
      <c r="L9" s="155" t="s">
        <v>133</v>
      </c>
      <c r="M9" s="155" t="s">
        <v>134</v>
      </c>
      <c r="N9" s="155" t="s">
        <v>216</v>
      </c>
      <c r="O9" s="155" t="s">
        <v>366</v>
      </c>
      <c r="P9" s="155" t="s">
        <v>367</v>
      </c>
      <c r="Q9" s="155" t="s">
        <v>368</v>
      </c>
      <c r="R9" s="155" t="s">
        <v>369</v>
      </c>
      <c r="S9" s="155" t="s">
        <v>370</v>
      </c>
      <c r="T9" s="155" t="s">
        <v>371</v>
      </c>
      <c r="U9" s="155" t="s">
        <v>372</v>
      </c>
      <c r="V9" s="155" t="s">
        <v>373</v>
      </c>
      <c r="W9" s="155" t="s">
        <v>374</v>
      </c>
      <c r="X9" s="155" t="s">
        <v>214</v>
      </c>
      <c r="Y9" s="155" t="s">
        <v>224</v>
      </c>
      <c r="Z9" s="156" t="s">
        <v>375</v>
      </c>
      <c r="AA9" s="155" t="s">
        <v>376</v>
      </c>
      <c r="AB9" s="155" t="s">
        <v>377</v>
      </c>
      <c r="AC9" s="155" t="s">
        <v>378</v>
      </c>
      <c r="AD9" s="155" t="s">
        <v>183</v>
      </c>
      <c r="AE9" s="155" t="s">
        <v>379</v>
      </c>
      <c r="AF9" s="155" t="s">
        <v>184</v>
      </c>
      <c r="AG9" s="157" t="s">
        <v>12</v>
      </c>
      <c r="AH9" s="155" t="s">
        <v>381</v>
      </c>
      <c r="AI9" s="155" t="s">
        <v>383</v>
      </c>
      <c r="AJ9" s="155" t="s">
        <v>385</v>
      </c>
      <c r="AK9" s="155" t="s">
        <v>387</v>
      </c>
      <c r="AL9" s="155" t="s">
        <v>163</v>
      </c>
      <c r="AM9" s="155" t="s">
        <v>164</v>
      </c>
      <c r="AN9" s="155" t="s">
        <v>165</v>
      </c>
      <c r="AO9" s="155" t="s">
        <v>166</v>
      </c>
      <c r="AP9" s="155" t="s">
        <v>167</v>
      </c>
      <c r="AQ9" s="155" t="s">
        <v>168</v>
      </c>
      <c r="AR9" s="155" t="s">
        <v>169</v>
      </c>
      <c r="AS9" s="155" t="s">
        <v>170</v>
      </c>
      <c r="AT9" s="155" t="s">
        <v>171</v>
      </c>
      <c r="AU9" s="155" t="s">
        <v>172</v>
      </c>
      <c r="AV9" s="155" t="s">
        <v>173</v>
      </c>
      <c r="AW9" s="155" t="s">
        <v>174</v>
      </c>
      <c r="AX9" s="155" t="s">
        <v>175</v>
      </c>
      <c r="AY9" s="155" t="s">
        <v>176</v>
      </c>
      <c r="AZ9" s="155" t="s">
        <v>177</v>
      </c>
      <c r="BA9" s="155" t="s">
        <v>178</v>
      </c>
      <c r="BB9" s="155" t="s">
        <v>179</v>
      </c>
      <c r="BC9" s="155" t="s">
        <v>180</v>
      </c>
      <c r="BD9" s="155" t="s">
        <v>181</v>
      </c>
      <c r="BE9" s="155" t="s">
        <v>182</v>
      </c>
      <c r="BF9" s="158" t="s">
        <v>388</v>
      </c>
      <c r="BG9" s="158" t="s">
        <v>389</v>
      </c>
      <c r="BH9" s="158" t="s">
        <v>390</v>
      </c>
      <c r="BI9" s="155"/>
      <c r="BJ9" s="175" t="s">
        <v>158</v>
      </c>
      <c r="BK9" s="159" t="s">
        <v>158</v>
      </c>
      <c r="BL9" s="159" t="s">
        <v>158</v>
      </c>
      <c r="BM9" s="159" t="s">
        <v>158</v>
      </c>
      <c r="BN9" s="159" t="s">
        <v>158</v>
      </c>
      <c r="BO9" s="160" t="s">
        <v>158</v>
      </c>
      <c r="BP9" s="160" t="s">
        <v>237</v>
      </c>
      <c r="BQ9" s="159" t="s">
        <v>158</v>
      </c>
      <c r="BR9" s="159" t="s">
        <v>158</v>
      </c>
      <c r="BS9" s="159" t="s">
        <v>158</v>
      </c>
      <c r="BT9" s="159" t="s">
        <v>158</v>
      </c>
      <c r="BU9" s="159" t="s">
        <v>158</v>
      </c>
      <c r="BV9" s="160" t="s">
        <v>158</v>
      </c>
      <c r="BW9" s="160" t="s">
        <v>237</v>
      </c>
      <c r="BX9" s="159" t="s">
        <v>158</v>
      </c>
      <c r="BY9" s="159" t="s">
        <v>158</v>
      </c>
      <c r="BZ9" s="159" t="s">
        <v>158</v>
      </c>
      <c r="CA9" s="159" t="s">
        <v>158</v>
      </c>
      <c r="CB9" s="159" t="s">
        <v>158</v>
      </c>
      <c r="CC9" s="160" t="s">
        <v>158</v>
      </c>
      <c r="CD9" s="160" t="s">
        <v>237</v>
      </c>
      <c r="CE9" s="159" t="s">
        <v>158</v>
      </c>
      <c r="CF9" s="159" t="s">
        <v>158</v>
      </c>
      <c r="CG9" s="159" t="s">
        <v>158</v>
      </c>
      <c r="CH9" s="159" t="s">
        <v>158</v>
      </c>
      <c r="CI9" s="159" t="s">
        <v>158</v>
      </c>
      <c r="CJ9" s="160" t="s">
        <v>158</v>
      </c>
      <c r="CK9" s="160" t="s">
        <v>237</v>
      </c>
      <c r="CL9" s="159" t="s">
        <v>158</v>
      </c>
      <c r="CM9" s="159" t="s">
        <v>158</v>
      </c>
      <c r="CN9" s="159" t="s">
        <v>158</v>
      </c>
      <c r="CO9" s="159" t="s">
        <v>158</v>
      </c>
      <c r="CP9" s="159" t="s">
        <v>158</v>
      </c>
      <c r="CQ9" s="160" t="s">
        <v>158</v>
      </c>
      <c r="CR9" s="160" t="s">
        <v>237</v>
      </c>
      <c r="CS9" s="148"/>
    </row>
    <row r="10" spans="1:106" s="125" customFormat="1" ht="18" customHeight="1" x14ac:dyDescent="0.25">
      <c r="A10" s="113" t="s">
        <v>158</v>
      </c>
      <c r="B10" s="113">
        <v>1</v>
      </c>
      <c r="C10" s="113"/>
      <c r="D10" s="113"/>
      <c r="E10" s="113"/>
      <c r="F10" s="113"/>
      <c r="G10" s="113">
        <v>0</v>
      </c>
      <c r="H10" s="161"/>
      <c r="I10" s="162" t="s">
        <v>160</v>
      </c>
      <c r="J10" s="163">
        <v>1</v>
      </c>
      <c r="K10" s="212" t="s">
        <v>405</v>
      </c>
      <c r="L10" s="187" t="s">
        <v>159</v>
      </c>
      <c r="M10" s="164" t="s">
        <v>58</v>
      </c>
      <c r="N10" s="173"/>
      <c r="O10" s="165"/>
      <c r="P10" s="166"/>
      <c r="Q10" s="166"/>
      <c r="R10" s="167"/>
      <c r="S10" s="166">
        <v>45908</v>
      </c>
      <c r="T10" s="166">
        <v>45919</v>
      </c>
      <c r="U10" s="253">
        <v>10</v>
      </c>
      <c r="V10" s="163"/>
      <c r="W10" s="163"/>
      <c r="X10" s="167"/>
      <c r="Y10" s="168">
        <v>0</v>
      </c>
      <c r="Z10" s="169">
        <v>0</v>
      </c>
      <c r="AA10" s="166"/>
      <c r="AB10" s="166"/>
      <c r="AC10" s="167"/>
      <c r="AD10" s="165"/>
      <c r="AE10" s="165"/>
      <c r="AF10" s="165"/>
      <c r="AG10" s="170"/>
      <c r="AH10" s="163"/>
      <c r="AI10" s="163"/>
      <c r="AJ10" s="163"/>
      <c r="AK10" s="163"/>
      <c r="AL10" s="163"/>
      <c r="AM10" s="163"/>
      <c r="AN10" s="163"/>
      <c r="AO10" s="163"/>
      <c r="AP10" s="163"/>
      <c r="AQ10" s="163"/>
      <c r="AR10" s="163"/>
      <c r="AS10" s="163"/>
      <c r="AT10" s="163"/>
      <c r="AU10" s="163"/>
      <c r="AV10" s="163"/>
      <c r="AW10" s="163"/>
      <c r="AX10" s="163"/>
      <c r="AY10" s="163"/>
      <c r="AZ10" s="163"/>
      <c r="BA10" s="163"/>
      <c r="BB10" s="163"/>
      <c r="BC10" s="163"/>
      <c r="BD10" s="163"/>
      <c r="BE10" s="163"/>
      <c r="BF10" s="171"/>
      <c r="BG10" s="171"/>
      <c r="BH10" s="171"/>
      <c r="BI10" s="163"/>
      <c r="BJ10" s="176"/>
      <c r="BK10" s="172"/>
      <c r="BL10" s="172"/>
      <c r="BM10" s="172"/>
      <c r="BN10" s="172"/>
      <c r="BO10" s="172"/>
      <c r="BP10" s="172"/>
      <c r="BQ10" s="172"/>
      <c r="BR10" s="172"/>
      <c r="BS10" s="172"/>
      <c r="BT10" s="172"/>
      <c r="BU10" s="172"/>
      <c r="BV10" s="172"/>
      <c r="BW10" s="172"/>
      <c r="BX10" s="172"/>
      <c r="BY10" s="172"/>
      <c r="BZ10" s="172"/>
      <c r="CA10" s="172"/>
      <c r="CB10" s="172"/>
      <c r="CC10" s="172"/>
      <c r="CD10" s="172"/>
      <c r="CE10" s="172"/>
      <c r="CF10" s="172"/>
      <c r="CG10" s="172"/>
      <c r="CH10" s="172"/>
      <c r="CI10" s="172"/>
      <c r="CJ10" s="172"/>
      <c r="CK10" s="172"/>
      <c r="CL10" s="172"/>
      <c r="CM10" s="172"/>
      <c r="CN10" s="172"/>
      <c r="CO10" s="172"/>
      <c r="CP10" s="172"/>
      <c r="CQ10" s="172"/>
      <c r="CR10" s="172"/>
      <c r="CS10" s="254"/>
      <c r="CT10"/>
      <c r="CU10"/>
      <c r="CV10"/>
      <c r="CW10"/>
      <c r="CX10"/>
      <c r="CY10"/>
      <c r="CZ10"/>
      <c r="DA10"/>
      <c r="DB10"/>
    </row>
    <row r="11" spans="1:106" s="125" customFormat="1" ht="18" customHeight="1" x14ac:dyDescent="0.25">
      <c r="A11" s="113" t="s">
        <v>158</v>
      </c>
      <c r="B11" s="113">
        <v>2</v>
      </c>
      <c r="C11" s="113"/>
      <c r="D11" s="113"/>
      <c r="E11" s="113"/>
      <c r="F11" s="113"/>
      <c r="G11" s="113">
        <v>0</v>
      </c>
      <c r="H11" s="213"/>
      <c r="I11" s="162" t="s">
        <v>160</v>
      </c>
      <c r="J11" s="214">
        <v>2</v>
      </c>
      <c r="K11" s="215" t="s">
        <v>406</v>
      </c>
      <c r="L11" s="187" t="s">
        <v>159</v>
      </c>
      <c r="M11" s="216" t="s">
        <v>58</v>
      </c>
      <c r="N11" s="173"/>
      <c r="O11" s="217"/>
      <c r="P11" s="218"/>
      <c r="Q11" s="218"/>
      <c r="R11" s="219"/>
      <c r="S11" s="166">
        <v>45909</v>
      </c>
      <c r="T11" s="218">
        <v>45909</v>
      </c>
      <c r="U11" s="220">
        <v>1</v>
      </c>
      <c r="V11" s="214"/>
      <c r="W11" s="214"/>
      <c r="X11" s="219"/>
      <c r="Y11" s="221">
        <v>0</v>
      </c>
      <c r="Z11" s="222">
        <v>0</v>
      </c>
      <c r="AA11" s="218"/>
      <c r="AB11" s="218"/>
      <c r="AC11" s="219"/>
      <c r="AD11" s="217"/>
      <c r="AE11" s="217"/>
      <c r="AF11" s="217"/>
      <c r="AG11" s="215"/>
      <c r="AH11" s="214"/>
      <c r="AI11" s="214"/>
      <c r="AJ11" s="214"/>
      <c r="AK11" s="214"/>
      <c r="AL11" s="214"/>
      <c r="AM11" s="214"/>
      <c r="AN11" s="214"/>
      <c r="AO11" s="214"/>
      <c r="AP11" s="214"/>
      <c r="AQ11" s="214"/>
      <c r="AR11" s="214"/>
      <c r="AS11" s="214"/>
      <c r="AT11" s="214"/>
      <c r="AU11" s="214"/>
      <c r="AV11" s="214"/>
      <c r="AW11" s="214"/>
      <c r="AX11" s="214"/>
      <c r="AY11" s="214"/>
      <c r="AZ11" s="214"/>
      <c r="BA11" s="214"/>
      <c r="BB11" s="214"/>
      <c r="BC11" s="214"/>
      <c r="BD11" s="214"/>
      <c r="BE11" s="214"/>
      <c r="BF11" s="223"/>
      <c r="BG11" s="223"/>
      <c r="BH11" s="223"/>
      <c r="BI11" s="214"/>
      <c r="BJ11" s="225"/>
      <c r="BK11" s="225"/>
      <c r="BL11" s="225"/>
      <c r="BM11" s="225"/>
      <c r="BN11" s="225"/>
      <c r="BO11" s="225"/>
      <c r="BP11" s="225"/>
      <c r="BQ11" s="225"/>
      <c r="BR11" s="225"/>
      <c r="BS11" s="225"/>
      <c r="BT11" s="225"/>
      <c r="BU11" s="225"/>
      <c r="BV11" s="225"/>
      <c r="BW11" s="225"/>
      <c r="BX11" s="225"/>
      <c r="BY11" s="225"/>
      <c r="BZ11" s="225"/>
      <c r="CA11" s="225"/>
      <c r="CB11" s="225"/>
      <c r="CC11" s="225"/>
      <c r="CD11" s="225"/>
      <c r="CE11" s="225"/>
      <c r="CF11" s="225"/>
      <c r="CG11" s="225"/>
      <c r="CH11" s="225"/>
      <c r="CI11" s="225"/>
      <c r="CJ11" s="225"/>
      <c r="CK11" s="225"/>
      <c r="CL11" s="225"/>
      <c r="CM11" s="225"/>
      <c r="CN11" s="225"/>
      <c r="CO11" s="225"/>
      <c r="CP11" s="225"/>
      <c r="CQ11" s="225"/>
      <c r="CR11" s="225"/>
      <c r="CS11" s="239"/>
    </row>
    <row r="12" spans="1:106" s="125" customFormat="1" ht="18" customHeight="1" x14ac:dyDescent="0.25">
      <c r="A12" s="113" t="s">
        <v>158</v>
      </c>
      <c r="B12" s="113">
        <v>3</v>
      </c>
      <c r="C12" s="113"/>
      <c r="D12" s="113"/>
      <c r="E12" s="113"/>
      <c r="F12" s="113"/>
      <c r="G12" s="113">
        <v>0</v>
      </c>
      <c r="H12" s="213"/>
      <c r="I12" s="162" t="s">
        <v>160</v>
      </c>
      <c r="J12" s="214">
        <v>3</v>
      </c>
      <c r="K12" s="215" t="s">
        <v>407</v>
      </c>
      <c r="L12" s="187" t="s">
        <v>159</v>
      </c>
      <c r="M12" s="216" t="s">
        <v>58</v>
      </c>
      <c r="N12" s="173"/>
      <c r="O12" s="217"/>
      <c r="P12" s="218"/>
      <c r="Q12" s="218"/>
      <c r="R12" s="219"/>
      <c r="S12" s="166">
        <v>45910</v>
      </c>
      <c r="T12" s="218">
        <v>45910</v>
      </c>
      <c r="U12" s="220">
        <v>1</v>
      </c>
      <c r="V12" s="214"/>
      <c r="W12" s="214"/>
      <c r="X12" s="219"/>
      <c r="Y12" s="221">
        <v>0</v>
      </c>
      <c r="Z12" s="222">
        <v>0</v>
      </c>
      <c r="AA12" s="218"/>
      <c r="AB12" s="218"/>
      <c r="AC12" s="219"/>
      <c r="AD12" s="217"/>
      <c r="AE12" s="217"/>
      <c r="AF12" s="217"/>
      <c r="AG12" s="215"/>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23"/>
      <c r="BG12" s="223"/>
      <c r="BH12" s="223"/>
      <c r="BI12" s="214"/>
      <c r="BJ12" s="225"/>
      <c r="BK12" s="225"/>
      <c r="BL12" s="225"/>
      <c r="BM12" s="225"/>
      <c r="BN12" s="225"/>
      <c r="BO12" s="225"/>
      <c r="BP12" s="225"/>
      <c r="BQ12" s="225"/>
      <c r="BR12" s="225"/>
      <c r="BS12" s="225"/>
      <c r="BT12" s="225"/>
      <c r="BU12" s="225"/>
      <c r="BV12" s="225"/>
      <c r="BW12" s="225"/>
      <c r="BX12" s="225"/>
      <c r="BY12" s="225"/>
      <c r="BZ12" s="225"/>
      <c r="CA12" s="225"/>
      <c r="CB12" s="225"/>
      <c r="CC12" s="225"/>
      <c r="CD12" s="225"/>
      <c r="CE12" s="225"/>
      <c r="CF12" s="225"/>
      <c r="CG12" s="225"/>
      <c r="CH12" s="225"/>
      <c r="CI12" s="225"/>
      <c r="CJ12" s="225"/>
      <c r="CK12" s="225"/>
      <c r="CL12" s="225"/>
      <c r="CM12" s="225"/>
      <c r="CN12" s="225"/>
      <c r="CO12" s="225"/>
      <c r="CP12" s="225"/>
      <c r="CQ12" s="225"/>
      <c r="CR12" s="225"/>
      <c r="CS12" s="239"/>
    </row>
    <row r="13" spans="1:106" s="125" customFormat="1" ht="18" customHeight="1" x14ac:dyDescent="0.25">
      <c r="A13" s="113" t="s">
        <v>158</v>
      </c>
      <c r="B13" s="113">
        <v>4</v>
      </c>
      <c r="C13" s="113"/>
      <c r="D13" s="113"/>
      <c r="E13" s="113"/>
      <c r="F13" s="113"/>
      <c r="G13" s="113">
        <v>0</v>
      </c>
      <c r="H13" s="213"/>
      <c r="I13" s="162" t="s">
        <v>160</v>
      </c>
      <c r="J13" s="214">
        <v>4</v>
      </c>
      <c r="K13" s="215" t="s">
        <v>408</v>
      </c>
      <c r="L13" s="187" t="s">
        <v>159</v>
      </c>
      <c r="M13" s="216" t="s">
        <v>58</v>
      </c>
      <c r="N13" s="173"/>
      <c r="O13" s="217"/>
      <c r="P13" s="218"/>
      <c r="Q13" s="218"/>
      <c r="R13" s="219"/>
      <c r="S13" s="166">
        <v>45911</v>
      </c>
      <c r="T13" s="218">
        <v>45911</v>
      </c>
      <c r="U13" s="220">
        <v>1</v>
      </c>
      <c r="V13" s="214"/>
      <c r="W13" s="214"/>
      <c r="X13" s="219"/>
      <c r="Y13" s="221">
        <v>0</v>
      </c>
      <c r="Z13" s="222">
        <v>0</v>
      </c>
      <c r="AA13" s="218"/>
      <c r="AB13" s="218"/>
      <c r="AC13" s="219"/>
      <c r="AD13" s="217"/>
      <c r="AE13" s="217"/>
      <c r="AF13" s="217"/>
      <c r="AG13" s="215"/>
      <c r="AH13" s="214"/>
      <c r="AI13" s="214"/>
      <c r="AJ13" s="214"/>
      <c r="AK13" s="214"/>
      <c r="AL13" s="214"/>
      <c r="AM13" s="214"/>
      <c r="AN13" s="214"/>
      <c r="AO13" s="214"/>
      <c r="AP13" s="214"/>
      <c r="AQ13" s="214"/>
      <c r="AR13" s="214"/>
      <c r="AS13" s="214"/>
      <c r="AT13" s="214"/>
      <c r="AU13" s="214"/>
      <c r="AV13" s="214"/>
      <c r="AW13" s="214"/>
      <c r="AX13" s="214"/>
      <c r="AY13" s="214"/>
      <c r="AZ13" s="214"/>
      <c r="BA13" s="214"/>
      <c r="BB13" s="214"/>
      <c r="BC13" s="214"/>
      <c r="BD13" s="214"/>
      <c r="BE13" s="214"/>
      <c r="BF13" s="223"/>
      <c r="BG13" s="223"/>
      <c r="BH13" s="223"/>
      <c r="BI13" s="214"/>
      <c r="BJ13" s="225"/>
      <c r="BK13" s="225"/>
      <c r="BL13" s="225"/>
      <c r="BM13" s="225"/>
      <c r="BN13" s="225"/>
      <c r="BO13" s="225"/>
      <c r="BP13" s="225"/>
      <c r="BQ13" s="225"/>
      <c r="BR13" s="225"/>
      <c r="BS13" s="225"/>
      <c r="BT13" s="225"/>
      <c r="BU13" s="225"/>
      <c r="BV13" s="225"/>
      <c r="BW13" s="225"/>
      <c r="BX13" s="225"/>
      <c r="BY13" s="225"/>
      <c r="BZ13" s="225"/>
      <c r="CA13" s="225"/>
      <c r="CB13" s="225"/>
      <c r="CC13" s="225"/>
      <c r="CD13" s="225"/>
      <c r="CE13" s="225"/>
      <c r="CF13" s="225"/>
      <c r="CG13" s="225"/>
      <c r="CH13" s="225"/>
      <c r="CI13" s="225"/>
      <c r="CJ13" s="225"/>
      <c r="CK13" s="225"/>
      <c r="CL13" s="225"/>
      <c r="CM13" s="225"/>
      <c r="CN13" s="225"/>
      <c r="CO13" s="225"/>
      <c r="CP13" s="225"/>
      <c r="CQ13" s="225"/>
      <c r="CR13" s="225"/>
      <c r="CS13" s="208"/>
    </row>
    <row r="14" spans="1:106" s="125" customFormat="1" ht="18" customHeight="1" x14ac:dyDescent="0.25">
      <c r="A14" s="113" t="s">
        <v>158</v>
      </c>
      <c r="B14" s="113">
        <v>5</v>
      </c>
      <c r="C14" s="113"/>
      <c r="D14" s="113"/>
      <c r="E14" s="113"/>
      <c r="F14" s="113"/>
      <c r="G14" s="113">
        <v>0</v>
      </c>
      <c r="H14" s="213"/>
      <c r="I14" s="162" t="s">
        <v>160</v>
      </c>
      <c r="J14" s="214">
        <v>5</v>
      </c>
      <c r="K14" s="215" t="s">
        <v>409</v>
      </c>
      <c r="L14" s="187" t="s">
        <v>159</v>
      </c>
      <c r="M14" s="216" t="s">
        <v>58</v>
      </c>
      <c r="N14" s="173"/>
      <c r="O14" s="217"/>
      <c r="P14" s="218"/>
      <c r="Q14" s="218"/>
      <c r="R14" s="219"/>
      <c r="S14" s="166">
        <v>45912</v>
      </c>
      <c r="T14" s="218">
        <v>45912</v>
      </c>
      <c r="U14" s="220">
        <v>1</v>
      </c>
      <c r="V14" s="214"/>
      <c r="W14" s="214"/>
      <c r="X14" s="219"/>
      <c r="Y14" s="221">
        <v>0</v>
      </c>
      <c r="Z14" s="222">
        <v>0</v>
      </c>
      <c r="AA14" s="218"/>
      <c r="AB14" s="218"/>
      <c r="AC14" s="219"/>
      <c r="AD14" s="217"/>
      <c r="AE14" s="217"/>
      <c r="AF14" s="217"/>
      <c r="AG14" s="215"/>
      <c r="AH14" s="214"/>
      <c r="AI14" s="214"/>
      <c r="AJ14" s="214"/>
      <c r="AK14" s="214"/>
      <c r="AL14" s="214"/>
      <c r="AM14" s="214"/>
      <c r="AN14" s="214"/>
      <c r="AO14" s="214"/>
      <c r="AP14" s="214"/>
      <c r="AQ14" s="214"/>
      <c r="AR14" s="214"/>
      <c r="AS14" s="214"/>
      <c r="AT14" s="214"/>
      <c r="AU14" s="214"/>
      <c r="AV14" s="214"/>
      <c r="AW14" s="214"/>
      <c r="AX14" s="214"/>
      <c r="AY14" s="214"/>
      <c r="AZ14" s="214"/>
      <c r="BA14" s="214"/>
      <c r="BB14" s="214"/>
      <c r="BC14" s="214"/>
      <c r="BD14" s="214"/>
      <c r="BE14" s="214"/>
      <c r="BF14" s="223"/>
      <c r="BG14" s="223"/>
      <c r="BH14" s="223"/>
      <c r="BI14" s="214"/>
      <c r="BJ14" s="225"/>
      <c r="BK14" s="225"/>
      <c r="BL14" s="225"/>
      <c r="BM14" s="225"/>
      <c r="BN14" s="225"/>
      <c r="BO14" s="225"/>
      <c r="BP14" s="225"/>
      <c r="BQ14" s="225"/>
      <c r="BR14" s="225"/>
      <c r="BS14" s="225"/>
      <c r="BT14" s="225"/>
      <c r="BU14" s="225"/>
      <c r="BV14" s="225"/>
      <c r="BW14" s="225"/>
      <c r="BX14" s="225"/>
      <c r="BY14" s="225"/>
      <c r="BZ14" s="225"/>
      <c r="CA14" s="225"/>
      <c r="CB14" s="225"/>
      <c r="CC14" s="225"/>
      <c r="CD14" s="225"/>
      <c r="CE14" s="225"/>
      <c r="CF14" s="225"/>
      <c r="CG14" s="225"/>
      <c r="CH14" s="225"/>
      <c r="CI14" s="225"/>
      <c r="CJ14" s="225"/>
      <c r="CK14" s="225"/>
      <c r="CL14" s="225"/>
      <c r="CM14" s="225"/>
      <c r="CN14" s="225"/>
      <c r="CO14" s="225"/>
      <c r="CP14" s="225"/>
      <c r="CQ14" s="225"/>
      <c r="CR14" s="225"/>
      <c r="CS14" s="239"/>
    </row>
    <row r="15" spans="1:106" s="125" customFormat="1" ht="18" customHeight="1" x14ac:dyDescent="0.25">
      <c r="A15" s="113" t="s">
        <v>158</v>
      </c>
      <c r="B15" s="113">
        <v>6</v>
      </c>
      <c r="C15" s="113"/>
      <c r="D15" s="113"/>
      <c r="E15" s="113"/>
      <c r="F15" s="113"/>
      <c r="G15" s="113">
        <v>0</v>
      </c>
      <c r="H15" s="213"/>
      <c r="I15" s="258" t="s">
        <v>160</v>
      </c>
      <c r="J15" s="214">
        <v>6</v>
      </c>
      <c r="K15" s="215" t="s">
        <v>410</v>
      </c>
      <c r="L15" s="187" t="s">
        <v>159</v>
      </c>
      <c r="M15" s="216" t="s">
        <v>58</v>
      </c>
      <c r="N15" s="173"/>
      <c r="O15" s="217"/>
      <c r="P15" s="218"/>
      <c r="Q15" s="218"/>
      <c r="R15" s="219"/>
      <c r="S15" s="166">
        <v>45913</v>
      </c>
      <c r="T15" s="218">
        <v>45915</v>
      </c>
      <c r="U15" s="220">
        <v>1</v>
      </c>
      <c r="V15" s="214"/>
      <c r="W15" s="214"/>
      <c r="X15" s="219"/>
      <c r="Y15" s="221">
        <v>0</v>
      </c>
      <c r="Z15" s="222">
        <v>0</v>
      </c>
      <c r="AA15" s="218"/>
      <c r="AB15" s="218"/>
      <c r="AC15" s="219"/>
      <c r="AD15" s="217"/>
      <c r="AE15" s="217"/>
      <c r="AF15" s="217"/>
      <c r="AG15" s="215"/>
      <c r="AH15" s="214"/>
      <c r="AI15" s="214"/>
      <c r="AJ15" s="214"/>
      <c r="AK15" s="214"/>
      <c r="AL15" s="214"/>
      <c r="AM15" s="214"/>
      <c r="AN15" s="214"/>
      <c r="AO15" s="214"/>
      <c r="AP15" s="214"/>
      <c r="AQ15" s="214"/>
      <c r="AR15" s="214"/>
      <c r="AS15" s="214"/>
      <c r="AT15" s="214"/>
      <c r="AU15" s="214"/>
      <c r="AV15" s="214"/>
      <c r="AW15" s="214"/>
      <c r="AX15" s="214"/>
      <c r="AY15" s="214"/>
      <c r="AZ15" s="214"/>
      <c r="BA15" s="214"/>
      <c r="BB15" s="214"/>
      <c r="BC15" s="214"/>
      <c r="BD15" s="214"/>
      <c r="BE15" s="214"/>
      <c r="BF15" s="223"/>
      <c r="BG15" s="223"/>
      <c r="BH15" s="223"/>
      <c r="BI15" s="214"/>
      <c r="BJ15" s="225"/>
      <c r="BK15" s="225"/>
      <c r="BL15" s="225"/>
      <c r="BM15" s="225"/>
      <c r="BN15" s="225"/>
      <c r="BO15" s="225"/>
      <c r="BP15" s="225"/>
      <c r="BQ15" s="225"/>
      <c r="BR15" s="225"/>
      <c r="BS15" s="225"/>
      <c r="BT15" s="225"/>
      <c r="BU15" s="225"/>
      <c r="BV15" s="225"/>
      <c r="BW15" s="225"/>
      <c r="BX15" s="225"/>
      <c r="BY15" s="225"/>
      <c r="BZ15" s="225"/>
      <c r="CA15" s="225"/>
      <c r="CB15" s="225"/>
      <c r="CC15" s="225"/>
      <c r="CD15" s="225"/>
      <c r="CE15" s="225"/>
      <c r="CF15" s="225"/>
      <c r="CG15" s="225"/>
      <c r="CH15" s="225"/>
      <c r="CI15" s="225"/>
      <c r="CJ15" s="225"/>
      <c r="CK15" s="225"/>
      <c r="CL15" s="225"/>
      <c r="CM15" s="225"/>
      <c r="CN15" s="225"/>
      <c r="CO15" s="225"/>
      <c r="CP15" s="225"/>
      <c r="CQ15" s="225"/>
      <c r="CR15" s="225"/>
      <c r="CS15" s="239"/>
    </row>
    <row r="16" spans="1:106" s="125" customFormat="1" ht="18" customHeight="1" x14ac:dyDescent="0.25">
      <c r="A16" s="113" t="s">
        <v>158</v>
      </c>
      <c r="B16" s="113">
        <v>7</v>
      </c>
      <c r="C16" s="113"/>
      <c r="D16" s="113"/>
      <c r="E16" s="113"/>
      <c r="F16" s="113"/>
      <c r="G16" s="113">
        <v>0</v>
      </c>
      <c r="H16" s="213"/>
      <c r="I16" s="258" t="s">
        <v>160</v>
      </c>
      <c r="J16" s="214">
        <v>7</v>
      </c>
      <c r="K16" s="215" t="s">
        <v>411</v>
      </c>
      <c r="L16" s="187" t="s">
        <v>159</v>
      </c>
      <c r="M16" s="216" t="s">
        <v>58</v>
      </c>
      <c r="N16" s="173"/>
      <c r="O16" s="217"/>
      <c r="P16" s="218"/>
      <c r="Q16" s="218"/>
      <c r="R16" s="219"/>
      <c r="S16" s="166">
        <v>45914</v>
      </c>
      <c r="T16" s="218">
        <v>45915</v>
      </c>
      <c r="U16" s="220">
        <v>1</v>
      </c>
      <c r="V16" s="214"/>
      <c r="W16" s="214"/>
      <c r="X16" s="219"/>
      <c r="Y16" s="221">
        <v>0</v>
      </c>
      <c r="Z16" s="222">
        <v>0</v>
      </c>
      <c r="AA16" s="218"/>
      <c r="AB16" s="218"/>
      <c r="AC16" s="219"/>
      <c r="AD16" s="217"/>
      <c r="AE16" s="217"/>
      <c r="AF16" s="217"/>
      <c r="AG16" s="215"/>
      <c r="AH16" s="214"/>
      <c r="AI16" s="214"/>
      <c r="AJ16" s="214"/>
      <c r="AK16" s="214"/>
      <c r="AL16" s="214"/>
      <c r="AM16" s="214"/>
      <c r="AN16" s="214"/>
      <c r="AO16" s="214"/>
      <c r="AP16" s="214"/>
      <c r="AQ16" s="214"/>
      <c r="AR16" s="214"/>
      <c r="AS16" s="214"/>
      <c r="AT16" s="214"/>
      <c r="AU16" s="214"/>
      <c r="AV16" s="214"/>
      <c r="AW16" s="214"/>
      <c r="AX16" s="214"/>
      <c r="AY16" s="214"/>
      <c r="AZ16" s="214"/>
      <c r="BA16" s="214"/>
      <c r="BB16" s="214"/>
      <c r="BC16" s="214"/>
      <c r="BD16" s="214"/>
      <c r="BE16" s="214"/>
      <c r="BF16" s="223"/>
      <c r="BG16" s="223"/>
      <c r="BH16" s="223"/>
      <c r="BI16" s="214"/>
      <c r="BJ16" s="225"/>
      <c r="BK16" s="225"/>
      <c r="BL16" s="225"/>
      <c r="BM16" s="225"/>
      <c r="BN16" s="225"/>
      <c r="BO16" s="225"/>
      <c r="BP16" s="225"/>
      <c r="BQ16" s="225"/>
      <c r="BR16" s="225"/>
      <c r="BS16" s="225"/>
      <c r="BT16" s="225"/>
      <c r="BU16" s="225"/>
      <c r="BV16" s="225"/>
      <c r="BW16" s="225"/>
      <c r="BX16" s="225"/>
      <c r="BY16" s="225"/>
      <c r="BZ16" s="225"/>
      <c r="CA16" s="225"/>
      <c r="CB16" s="225"/>
      <c r="CC16" s="225"/>
      <c r="CD16" s="225"/>
      <c r="CE16" s="225"/>
      <c r="CF16" s="225"/>
      <c r="CG16" s="225"/>
      <c r="CH16" s="225"/>
      <c r="CI16" s="225"/>
      <c r="CJ16" s="225"/>
      <c r="CK16" s="225"/>
      <c r="CL16" s="225"/>
      <c r="CM16" s="225"/>
      <c r="CN16" s="225"/>
      <c r="CO16" s="225"/>
      <c r="CP16" s="225"/>
      <c r="CQ16" s="225"/>
      <c r="CR16" s="225"/>
      <c r="CS16" s="239"/>
    </row>
    <row r="17" spans="1:97" s="125" customFormat="1" ht="18" customHeight="1" x14ac:dyDescent="0.25">
      <c r="A17" s="113" t="s">
        <v>158</v>
      </c>
      <c r="B17" s="113">
        <v>8</v>
      </c>
      <c r="C17" s="113"/>
      <c r="D17" s="113"/>
      <c r="E17" s="113"/>
      <c r="F17" s="113"/>
      <c r="G17" s="113">
        <v>0</v>
      </c>
      <c r="H17" s="226"/>
      <c r="I17" s="259" t="s">
        <v>160</v>
      </c>
      <c r="J17" s="227">
        <v>8</v>
      </c>
      <c r="K17" s="228" t="s">
        <v>412</v>
      </c>
      <c r="L17" s="195" t="s">
        <v>159</v>
      </c>
      <c r="M17" s="229" t="s">
        <v>58</v>
      </c>
      <c r="N17" s="133"/>
      <c r="O17" s="230"/>
      <c r="P17" s="231"/>
      <c r="Q17" s="231"/>
      <c r="R17" s="232"/>
      <c r="S17" s="196">
        <v>45915</v>
      </c>
      <c r="T17" s="231">
        <v>45915</v>
      </c>
      <c r="U17" s="233">
        <v>1</v>
      </c>
      <c r="V17" s="227"/>
      <c r="W17" s="227"/>
      <c r="X17" s="232"/>
      <c r="Y17" s="234">
        <v>0</v>
      </c>
      <c r="Z17" s="235">
        <v>0</v>
      </c>
      <c r="AA17" s="231"/>
      <c r="AB17" s="231"/>
      <c r="AC17" s="232"/>
      <c r="AD17" s="230"/>
      <c r="AE17" s="230"/>
      <c r="AF17" s="230"/>
      <c r="AG17" s="228"/>
      <c r="AH17" s="227"/>
      <c r="AI17" s="227"/>
      <c r="AJ17" s="227"/>
      <c r="AK17" s="227"/>
      <c r="AL17" s="227"/>
      <c r="AM17" s="227"/>
      <c r="AN17" s="227"/>
      <c r="AO17" s="227"/>
      <c r="AP17" s="227"/>
      <c r="AQ17" s="227"/>
      <c r="AR17" s="227"/>
      <c r="AS17" s="227"/>
      <c r="AT17" s="227"/>
      <c r="AU17" s="227"/>
      <c r="AV17" s="227"/>
      <c r="AW17" s="227"/>
      <c r="AX17" s="227"/>
      <c r="AY17" s="227"/>
      <c r="AZ17" s="227"/>
      <c r="BA17" s="227"/>
      <c r="BB17" s="227"/>
      <c r="BC17" s="227"/>
      <c r="BD17" s="227"/>
      <c r="BE17" s="227"/>
      <c r="BF17" s="236"/>
      <c r="BG17" s="236"/>
      <c r="BH17" s="236"/>
      <c r="BI17" s="227"/>
      <c r="BJ17" s="237"/>
      <c r="BK17" s="237"/>
      <c r="BL17" s="237"/>
      <c r="BM17" s="237"/>
      <c r="BN17" s="237"/>
      <c r="BO17" s="237"/>
      <c r="BP17" s="237"/>
      <c r="BQ17" s="237"/>
      <c r="BR17" s="237"/>
      <c r="BS17" s="237"/>
      <c r="BT17" s="237"/>
      <c r="BU17" s="237"/>
      <c r="BV17" s="237"/>
      <c r="BW17" s="237"/>
      <c r="BX17" s="237"/>
      <c r="BY17" s="237"/>
      <c r="BZ17" s="237"/>
      <c r="CA17" s="237"/>
      <c r="CB17" s="237"/>
      <c r="CC17" s="237"/>
      <c r="CD17" s="237"/>
      <c r="CE17" s="237"/>
      <c r="CF17" s="237"/>
      <c r="CG17" s="237"/>
      <c r="CH17" s="237"/>
      <c r="CI17" s="237"/>
      <c r="CJ17" s="237"/>
      <c r="CK17" s="237"/>
      <c r="CL17" s="237"/>
      <c r="CM17" s="237"/>
      <c r="CN17" s="237"/>
      <c r="CO17" s="237"/>
      <c r="CP17" s="237"/>
      <c r="CQ17" s="237"/>
      <c r="CR17" s="237"/>
      <c r="CS17" s="208"/>
    </row>
    <row r="18" spans="1:97" s="125" customFormat="1" ht="18" customHeight="1" x14ac:dyDescent="0.25">
      <c r="A18" s="113" t="s">
        <v>158</v>
      </c>
      <c r="B18" s="113">
        <v>9</v>
      </c>
      <c r="C18" s="113"/>
      <c r="D18" s="113"/>
      <c r="E18" s="113"/>
      <c r="F18" s="113"/>
      <c r="G18" s="113">
        <v>0</v>
      </c>
      <c r="H18" s="211"/>
      <c r="I18" s="262" t="s">
        <v>160</v>
      </c>
      <c r="J18" s="198">
        <v>9</v>
      </c>
      <c r="K18" s="199" t="s">
        <v>413</v>
      </c>
      <c r="L18" s="210" t="s">
        <v>159</v>
      </c>
      <c r="M18" s="200" t="s">
        <v>58</v>
      </c>
      <c r="N18" s="255"/>
      <c r="O18" s="209"/>
      <c r="P18" s="202"/>
      <c r="Q18" s="202"/>
      <c r="R18" s="201"/>
      <c r="S18" s="256">
        <v>45916</v>
      </c>
      <c r="T18" s="202">
        <v>45916</v>
      </c>
      <c r="U18" s="203">
        <v>1</v>
      </c>
      <c r="V18" s="198"/>
      <c r="W18" s="198"/>
      <c r="X18" s="201"/>
      <c r="Y18" s="204">
        <v>0</v>
      </c>
      <c r="Z18" s="205">
        <v>0</v>
      </c>
      <c r="AA18" s="202"/>
      <c r="AB18" s="202"/>
      <c r="AC18" s="201"/>
      <c r="AD18" s="209"/>
      <c r="AE18" s="209"/>
      <c r="AF18" s="209"/>
      <c r="AG18" s="199"/>
      <c r="AH18" s="198"/>
      <c r="AI18" s="198"/>
      <c r="AJ18" s="198"/>
      <c r="AK18" s="198"/>
      <c r="AL18" s="198"/>
      <c r="AM18" s="198"/>
      <c r="AN18" s="198"/>
      <c r="AO18" s="198"/>
      <c r="AP18" s="198"/>
      <c r="AQ18" s="198"/>
      <c r="AR18" s="198"/>
      <c r="AS18" s="198"/>
      <c r="AT18" s="198"/>
      <c r="AU18" s="198"/>
      <c r="AV18" s="198"/>
      <c r="AW18" s="198"/>
      <c r="AX18" s="198"/>
      <c r="AY18" s="198"/>
      <c r="AZ18" s="198"/>
      <c r="BA18" s="198"/>
      <c r="BB18" s="198"/>
      <c r="BC18" s="198"/>
      <c r="BD18" s="198"/>
      <c r="BE18" s="198"/>
      <c r="BF18" s="206"/>
      <c r="BG18" s="206"/>
      <c r="BH18" s="206"/>
      <c r="BI18" s="198"/>
      <c r="BJ18" s="207"/>
      <c r="BK18" s="207"/>
      <c r="BL18" s="207"/>
      <c r="BM18" s="207"/>
      <c r="BN18" s="207"/>
      <c r="BO18" s="207"/>
      <c r="BP18" s="207"/>
      <c r="BQ18" s="207"/>
      <c r="BR18" s="207"/>
      <c r="BS18" s="207"/>
      <c r="BT18" s="207"/>
      <c r="BU18" s="207"/>
      <c r="BV18" s="207"/>
      <c r="BW18" s="207"/>
      <c r="BX18" s="207"/>
      <c r="BY18" s="207"/>
      <c r="BZ18" s="207"/>
      <c r="CA18" s="207"/>
      <c r="CB18" s="207"/>
      <c r="CC18" s="207"/>
      <c r="CD18" s="207"/>
      <c r="CE18" s="207"/>
      <c r="CF18" s="207"/>
      <c r="CG18" s="207"/>
      <c r="CH18" s="207"/>
      <c r="CI18" s="207"/>
      <c r="CJ18" s="207"/>
      <c r="CK18" s="207"/>
      <c r="CL18" s="207"/>
      <c r="CM18" s="207"/>
      <c r="CN18" s="207"/>
      <c r="CO18" s="207"/>
      <c r="CP18" s="207"/>
      <c r="CQ18" s="207"/>
      <c r="CR18" s="207"/>
      <c r="CS18" s="239"/>
    </row>
    <row r="19" spans="1:97" s="125" customFormat="1" ht="18" customHeight="1" x14ac:dyDescent="0.25">
      <c r="A19" s="113" t="s">
        <v>158</v>
      </c>
      <c r="B19" s="113">
        <v>10</v>
      </c>
      <c r="C19" s="113"/>
      <c r="D19" s="113"/>
      <c r="E19" s="113"/>
      <c r="F19" s="113"/>
      <c r="G19" s="113">
        <v>0</v>
      </c>
      <c r="H19" s="240"/>
      <c r="I19" s="260" t="s">
        <v>160</v>
      </c>
      <c r="J19" s="241">
        <v>10</v>
      </c>
      <c r="K19" s="242" t="s">
        <v>414</v>
      </c>
      <c r="L19" s="243" t="s">
        <v>159</v>
      </c>
      <c r="M19" s="244" t="s">
        <v>58</v>
      </c>
      <c r="N19" s="197"/>
      <c r="O19" s="245"/>
      <c r="P19" s="246"/>
      <c r="Q19" s="246"/>
      <c r="R19" s="247"/>
      <c r="S19" s="261">
        <v>45917</v>
      </c>
      <c r="T19" s="246">
        <v>45917</v>
      </c>
      <c r="U19" s="248">
        <v>1</v>
      </c>
      <c r="V19" s="241"/>
      <c r="W19" s="241"/>
      <c r="X19" s="247"/>
      <c r="Y19" s="249">
        <v>0</v>
      </c>
      <c r="Z19" s="250">
        <v>0</v>
      </c>
      <c r="AA19" s="246"/>
      <c r="AB19" s="246"/>
      <c r="AC19" s="247"/>
      <c r="AD19" s="245"/>
      <c r="AE19" s="245"/>
      <c r="AF19" s="245"/>
      <c r="AG19" s="242"/>
      <c r="AH19" s="241"/>
      <c r="AI19" s="241"/>
      <c r="AJ19" s="241"/>
      <c r="AK19" s="241"/>
      <c r="AL19" s="241"/>
      <c r="AM19" s="241"/>
      <c r="AN19" s="241"/>
      <c r="AO19" s="241"/>
      <c r="AP19" s="241"/>
      <c r="AQ19" s="241"/>
      <c r="AR19" s="241"/>
      <c r="AS19" s="241"/>
      <c r="AT19" s="241"/>
      <c r="AU19" s="241"/>
      <c r="AV19" s="241"/>
      <c r="AW19" s="241"/>
      <c r="AX19" s="241"/>
      <c r="AY19" s="241"/>
      <c r="AZ19" s="241"/>
      <c r="BA19" s="241"/>
      <c r="BB19" s="241"/>
      <c r="BC19" s="241"/>
      <c r="BD19" s="241"/>
      <c r="BE19" s="241"/>
      <c r="BF19" s="251"/>
      <c r="BG19" s="251"/>
      <c r="BH19" s="251"/>
      <c r="BI19" s="241"/>
      <c r="BJ19" s="252"/>
      <c r="BK19" s="252"/>
      <c r="BL19" s="252"/>
      <c r="BM19" s="252"/>
      <c r="BN19" s="252"/>
      <c r="BO19" s="252"/>
      <c r="BP19" s="252"/>
      <c r="BQ19" s="252"/>
      <c r="BR19" s="252"/>
      <c r="BS19" s="252"/>
      <c r="BT19" s="252"/>
      <c r="BU19" s="252"/>
      <c r="BV19" s="252"/>
      <c r="BW19" s="252"/>
      <c r="BX19" s="252"/>
      <c r="BY19" s="252"/>
      <c r="BZ19" s="252"/>
      <c r="CA19" s="252"/>
      <c r="CB19" s="252"/>
      <c r="CC19" s="252"/>
      <c r="CD19" s="252"/>
      <c r="CE19" s="252"/>
      <c r="CF19" s="252"/>
      <c r="CG19" s="252"/>
      <c r="CH19" s="252"/>
      <c r="CI19" s="252"/>
      <c r="CJ19" s="252"/>
      <c r="CK19" s="252"/>
      <c r="CL19" s="252"/>
      <c r="CM19" s="252"/>
      <c r="CN19" s="252"/>
      <c r="CO19" s="252"/>
      <c r="CP19" s="252"/>
      <c r="CQ19" s="252"/>
      <c r="CR19" s="252"/>
      <c r="CS19" s="208"/>
    </row>
    <row r="20" spans="1:97" s="125" customFormat="1" ht="18" customHeight="1" x14ac:dyDescent="0.25">
      <c r="A20" s="113" t="s">
        <v>158</v>
      </c>
      <c r="B20" s="113">
        <v>11</v>
      </c>
      <c r="C20" s="113"/>
      <c r="D20" s="113"/>
      <c r="E20" s="113"/>
      <c r="F20" s="113"/>
      <c r="G20" s="113">
        <v>0</v>
      </c>
      <c r="H20" s="213"/>
      <c r="I20" s="258" t="s">
        <v>160</v>
      </c>
      <c r="J20" s="214">
        <v>11</v>
      </c>
      <c r="K20" s="215" t="s">
        <v>415</v>
      </c>
      <c r="L20" s="187" t="s">
        <v>159</v>
      </c>
      <c r="M20" s="216" t="s">
        <v>58</v>
      </c>
      <c r="N20" s="173"/>
      <c r="O20" s="217"/>
      <c r="P20" s="218"/>
      <c r="Q20" s="218"/>
      <c r="R20" s="219"/>
      <c r="S20" s="166">
        <v>45918</v>
      </c>
      <c r="T20" s="218">
        <v>45918</v>
      </c>
      <c r="U20" s="220">
        <v>1</v>
      </c>
      <c r="V20" s="214"/>
      <c r="W20" s="214"/>
      <c r="X20" s="219"/>
      <c r="Y20" s="221">
        <v>0</v>
      </c>
      <c r="Z20" s="222">
        <v>0</v>
      </c>
      <c r="AA20" s="218"/>
      <c r="AB20" s="218"/>
      <c r="AC20" s="219"/>
      <c r="AD20" s="217"/>
      <c r="AE20" s="217"/>
      <c r="AF20" s="217"/>
      <c r="AG20" s="215"/>
      <c r="AH20" s="214"/>
      <c r="AI20" s="214"/>
      <c r="AJ20" s="214"/>
      <c r="AK20" s="214"/>
      <c r="AL20" s="214"/>
      <c r="AM20" s="214"/>
      <c r="AN20" s="214"/>
      <c r="AO20" s="214"/>
      <c r="AP20" s="214"/>
      <c r="AQ20" s="214"/>
      <c r="AR20" s="214"/>
      <c r="AS20" s="214"/>
      <c r="AT20" s="214"/>
      <c r="AU20" s="214"/>
      <c r="AV20" s="214"/>
      <c r="AW20" s="214"/>
      <c r="AX20" s="214"/>
      <c r="AY20" s="214"/>
      <c r="AZ20" s="214"/>
      <c r="BA20" s="214"/>
      <c r="BB20" s="214"/>
      <c r="BC20" s="214"/>
      <c r="BD20" s="214"/>
      <c r="BE20" s="214"/>
      <c r="BF20" s="223"/>
      <c r="BG20" s="223"/>
      <c r="BH20" s="223"/>
      <c r="BI20" s="214"/>
      <c r="BJ20" s="225"/>
      <c r="BK20" s="225"/>
      <c r="BL20" s="225"/>
      <c r="BM20" s="225"/>
      <c r="BN20" s="225"/>
      <c r="BO20" s="225"/>
      <c r="BP20" s="225"/>
      <c r="BQ20" s="225"/>
      <c r="BR20" s="225"/>
      <c r="BS20" s="225"/>
      <c r="BT20" s="225"/>
      <c r="BU20" s="225"/>
      <c r="BV20" s="225"/>
      <c r="BW20" s="225"/>
      <c r="BX20" s="225"/>
      <c r="BY20" s="225"/>
      <c r="BZ20" s="225"/>
      <c r="CA20" s="225"/>
      <c r="CB20" s="225"/>
      <c r="CC20" s="225"/>
      <c r="CD20" s="225"/>
      <c r="CE20" s="225"/>
      <c r="CF20" s="225"/>
      <c r="CG20" s="225"/>
      <c r="CH20" s="225"/>
      <c r="CI20" s="225"/>
      <c r="CJ20" s="225"/>
      <c r="CK20" s="225"/>
      <c r="CL20" s="225"/>
      <c r="CM20" s="225"/>
      <c r="CN20" s="225"/>
      <c r="CO20" s="225"/>
      <c r="CP20" s="225"/>
      <c r="CQ20" s="225"/>
      <c r="CR20" s="225"/>
      <c r="CS20" s="208"/>
    </row>
    <row r="21" spans="1:97" s="125" customFormat="1" ht="18" customHeight="1" x14ac:dyDescent="0.25">
      <c r="A21" s="113" t="s">
        <v>158</v>
      </c>
      <c r="B21" s="113">
        <v>12</v>
      </c>
      <c r="C21" s="113"/>
      <c r="D21" s="113"/>
      <c r="E21" s="113"/>
      <c r="F21" s="113"/>
      <c r="G21" s="113">
        <v>0</v>
      </c>
      <c r="H21" s="213"/>
      <c r="I21" s="258" t="s">
        <v>160</v>
      </c>
      <c r="J21" s="214">
        <v>12</v>
      </c>
      <c r="K21" s="215" t="s">
        <v>416</v>
      </c>
      <c r="L21" s="187" t="s">
        <v>159</v>
      </c>
      <c r="M21" s="216" t="s">
        <v>58</v>
      </c>
      <c r="N21" s="173"/>
      <c r="O21" s="217"/>
      <c r="P21" s="218"/>
      <c r="Q21" s="218"/>
      <c r="R21" s="219"/>
      <c r="S21" s="166">
        <v>45919</v>
      </c>
      <c r="T21" s="218">
        <v>45919</v>
      </c>
      <c r="U21" s="220">
        <v>1</v>
      </c>
      <c r="V21" s="214"/>
      <c r="W21" s="214"/>
      <c r="X21" s="219"/>
      <c r="Y21" s="221">
        <v>0</v>
      </c>
      <c r="Z21" s="222">
        <v>0</v>
      </c>
      <c r="AA21" s="218"/>
      <c r="AB21" s="218"/>
      <c r="AC21" s="219"/>
      <c r="AD21" s="217"/>
      <c r="AE21" s="217"/>
      <c r="AF21" s="217"/>
      <c r="AG21" s="215"/>
      <c r="AH21" s="214"/>
      <c r="AI21" s="214"/>
      <c r="AJ21" s="214"/>
      <c r="AK21" s="214"/>
      <c r="AL21" s="214"/>
      <c r="AM21" s="214"/>
      <c r="AN21" s="214"/>
      <c r="AO21" s="214"/>
      <c r="AP21" s="214"/>
      <c r="AQ21" s="214"/>
      <c r="AR21" s="214"/>
      <c r="AS21" s="214"/>
      <c r="AT21" s="214"/>
      <c r="AU21" s="214"/>
      <c r="AV21" s="214"/>
      <c r="AW21" s="214"/>
      <c r="AX21" s="214"/>
      <c r="AY21" s="214"/>
      <c r="AZ21" s="214"/>
      <c r="BA21" s="214"/>
      <c r="BB21" s="214"/>
      <c r="BC21" s="214"/>
      <c r="BD21" s="214"/>
      <c r="BE21" s="214"/>
      <c r="BF21" s="223"/>
      <c r="BG21" s="223"/>
      <c r="BH21" s="223"/>
      <c r="BI21" s="214"/>
      <c r="BJ21" s="225"/>
      <c r="BK21" s="225"/>
      <c r="BL21" s="225"/>
      <c r="BM21" s="225"/>
      <c r="BN21" s="225"/>
      <c r="BO21" s="225"/>
      <c r="BP21" s="225"/>
      <c r="BQ21" s="225"/>
      <c r="BR21" s="225"/>
      <c r="BS21" s="225"/>
      <c r="BT21" s="225"/>
      <c r="BU21" s="225"/>
      <c r="BV21" s="225"/>
      <c r="BW21" s="225"/>
      <c r="BX21" s="225"/>
      <c r="BY21" s="225"/>
      <c r="BZ21" s="225"/>
      <c r="CA21" s="225"/>
      <c r="CB21" s="225"/>
      <c r="CC21" s="225"/>
      <c r="CD21" s="225"/>
      <c r="CE21" s="225"/>
      <c r="CF21" s="225"/>
      <c r="CG21" s="225"/>
      <c r="CH21" s="225"/>
      <c r="CI21" s="225"/>
      <c r="CJ21" s="225"/>
      <c r="CK21" s="225"/>
      <c r="CL21" s="225"/>
      <c r="CM21" s="225"/>
      <c r="CN21" s="225"/>
      <c r="CO21" s="225"/>
      <c r="CP21" s="225"/>
      <c r="CQ21" s="225"/>
      <c r="CR21" s="225"/>
      <c r="CS21" s="208"/>
    </row>
    <row r="22" spans="1:97" s="125" customFormat="1" ht="18" customHeight="1" x14ac:dyDescent="0.25">
      <c r="A22" s="113" t="s">
        <v>158</v>
      </c>
      <c r="B22" s="113">
        <v>13</v>
      </c>
      <c r="C22" s="113"/>
      <c r="D22" s="113"/>
      <c r="E22" s="113"/>
      <c r="F22" s="113"/>
      <c r="G22" s="113">
        <v>0</v>
      </c>
      <c r="H22" s="213"/>
      <c r="I22" s="258" t="s">
        <v>160</v>
      </c>
      <c r="J22" s="214">
        <v>13</v>
      </c>
      <c r="K22" s="215" t="s">
        <v>417</v>
      </c>
      <c r="L22" s="187" t="s">
        <v>159</v>
      </c>
      <c r="M22" s="216" t="s">
        <v>58</v>
      </c>
      <c r="N22" s="173"/>
      <c r="O22" s="217"/>
      <c r="P22" s="218"/>
      <c r="Q22" s="218"/>
      <c r="R22" s="219"/>
      <c r="S22" s="166">
        <v>45920</v>
      </c>
      <c r="T22" s="218">
        <v>45922</v>
      </c>
      <c r="U22" s="220">
        <v>1</v>
      </c>
      <c r="V22" s="214"/>
      <c r="W22" s="214"/>
      <c r="X22" s="219"/>
      <c r="Y22" s="221">
        <v>0</v>
      </c>
      <c r="Z22" s="222">
        <v>0</v>
      </c>
      <c r="AA22" s="218"/>
      <c r="AB22" s="218"/>
      <c r="AC22" s="219"/>
      <c r="AD22" s="217"/>
      <c r="AE22" s="217"/>
      <c r="AF22" s="217"/>
      <c r="AG22" s="215"/>
      <c r="AH22" s="214"/>
      <c r="AI22" s="214"/>
      <c r="AJ22" s="214"/>
      <c r="AK22" s="214"/>
      <c r="AL22" s="214"/>
      <c r="AM22" s="214"/>
      <c r="AN22" s="214"/>
      <c r="AO22" s="214"/>
      <c r="AP22" s="214"/>
      <c r="AQ22" s="214"/>
      <c r="AR22" s="214"/>
      <c r="AS22" s="214"/>
      <c r="AT22" s="214"/>
      <c r="AU22" s="214"/>
      <c r="AV22" s="214"/>
      <c r="AW22" s="214"/>
      <c r="AX22" s="214"/>
      <c r="AY22" s="214"/>
      <c r="AZ22" s="214"/>
      <c r="BA22" s="214"/>
      <c r="BB22" s="214"/>
      <c r="BC22" s="214"/>
      <c r="BD22" s="214"/>
      <c r="BE22" s="214"/>
      <c r="BF22" s="223"/>
      <c r="BG22" s="223"/>
      <c r="BH22" s="223"/>
      <c r="BI22" s="214"/>
      <c r="BJ22" s="225"/>
      <c r="BK22" s="225"/>
      <c r="BL22" s="225"/>
      <c r="BM22" s="225"/>
      <c r="BN22" s="225"/>
      <c r="BO22" s="225"/>
      <c r="BP22" s="225"/>
      <c r="BQ22" s="225"/>
      <c r="BR22" s="225"/>
      <c r="BS22" s="225"/>
      <c r="BT22" s="225"/>
      <c r="BU22" s="225"/>
      <c r="BV22" s="225"/>
      <c r="BW22" s="225"/>
      <c r="BX22" s="225"/>
      <c r="BY22" s="225"/>
      <c r="BZ22" s="225"/>
      <c r="CA22" s="225"/>
      <c r="CB22" s="225"/>
      <c r="CC22" s="225"/>
      <c r="CD22" s="225"/>
      <c r="CE22" s="225"/>
      <c r="CF22" s="225"/>
      <c r="CG22" s="225"/>
      <c r="CH22" s="225"/>
      <c r="CI22" s="225"/>
      <c r="CJ22" s="225"/>
      <c r="CK22" s="225"/>
      <c r="CL22" s="225"/>
      <c r="CM22" s="225"/>
      <c r="CN22" s="225"/>
      <c r="CO22" s="225"/>
      <c r="CP22" s="225"/>
      <c r="CQ22" s="225"/>
      <c r="CR22" s="225"/>
      <c r="CS22" s="208"/>
    </row>
    <row r="23" spans="1:97" s="125" customFormat="1" ht="18" customHeight="1" x14ac:dyDescent="0.25">
      <c r="A23" s="113" t="s">
        <v>158</v>
      </c>
      <c r="B23" s="113">
        <v>14</v>
      </c>
      <c r="C23" s="113"/>
      <c r="D23" s="113"/>
      <c r="E23" s="113"/>
      <c r="F23" s="113"/>
      <c r="G23" s="113">
        <v>0</v>
      </c>
      <c r="H23" s="213"/>
      <c r="I23" s="258" t="s">
        <v>160</v>
      </c>
      <c r="J23" s="214">
        <v>14</v>
      </c>
      <c r="K23" s="215" t="s">
        <v>418</v>
      </c>
      <c r="L23" s="187" t="s">
        <v>159</v>
      </c>
      <c r="M23" s="216" t="s">
        <v>58</v>
      </c>
      <c r="N23" s="173"/>
      <c r="O23" s="217"/>
      <c r="P23" s="218"/>
      <c r="Q23" s="218"/>
      <c r="R23" s="219"/>
      <c r="S23" s="166">
        <v>45921</v>
      </c>
      <c r="T23" s="218">
        <v>45922</v>
      </c>
      <c r="U23" s="220">
        <v>1</v>
      </c>
      <c r="V23" s="214"/>
      <c r="W23" s="214"/>
      <c r="X23" s="219"/>
      <c r="Y23" s="221">
        <v>0</v>
      </c>
      <c r="Z23" s="222">
        <v>0</v>
      </c>
      <c r="AA23" s="218"/>
      <c r="AB23" s="218"/>
      <c r="AC23" s="219"/>
      <c r="AD23" s="217"/>
      <c r="AE23" s="217"/>
      <c r="AF23" s="217"/>
      <c r="AG23" s="215"/>
      <c r="AH23" s="214"/>
      <c r="AI23" s="214"/>
      <c r="AJ23" s="214"/>
      <c r="AK23" s="214"/>
      <c r="AL23" s="214"/>
      <c r="AM23" s="214"/>
      <c r="AN23" s="214"/>
      <c r="AO23" s="214"/>
      <c r="AP23" s="214"/>
      <c r="AQ23" s="214"/>
      <c r="AR23" s="214"/>
      <c r="AS23" s="214"/>
      <c r="AT23" s="214"/>
      <c r="AU23" s="214"/>
      <c r="AV23" s="214"/>
      <c r="AW23" s="214"/>
      <c r="AX23" s="214"/>
      <c r="AY23" s="214"/>
      <c r="AZ23" s="214"/>
      <c r="BA23" s="214"/>
      <c r="BB23" s="214"/>
      <c r="BC23" s="214"/>
      <c r="BD23" s="214"/>
      <c r="BE23" s="214"/>
      <c r="BF23" s="223"/>
      <c r="BG23" s="223"/>
      <c r="BH23" s="223"/>
      <c r="BI23" s="214"/>
      <c r="BJ23" s="225"/>
      <c r="BK23" s="225"/>
      <c r="BL23" s="225"/>
      <c r="BM23" s="225"/>
      <c r="BN23" s="225"/>
      <c r="BO23" s="225"/>
      <c r="BP23" s="225"/>
      <c r="BQ23" s="225"/>
      <c r="BR23" s="225"/>
      <c r="BS23" s="225"/>
      <c r="BT23" s="225"/>
      <c r="BU23" s="225"/>
      <c r="BV23" s="225"/>
      <c r="BW23" s="225"/>
      <c r="BX23" s="225"/>
      <c r="BY23" s="225"/>
      <c r="BZ23" s="225"/>
      <c r="CA23" s="225"/>
      <c r="CB23" s="225"/>
      <c r="CC23" s="225"/>
      <c r="CD23" s="225"/>
      <c r="CE23" s="225"/>
      <c r="CF23" s="225"/>
      <c r="CG23" s="225"/>
      <c r="CH23" s="225"/>
      <c r="CI23" s="225"/>
      <c r="CJ23" s="225"/>
      <c r="CK23" s="225"/>
      <c r="CL23" s="225"/>
      <c r="CM23" s="225"/>
      <c r="CN23" s="225"/>
      <c r="CO23" s="225"/>
      <c r="CP23" s="225"/>
      <c r="CQ23" s="225"/>
      <c r="CR23" s="225"/>
      <c r="CS23" s="239"/>
    </row>
    <row r="24" spans="1:97" s="125" customFormat="1" ht="18" customHeight="1" x14ac:dyDescent="0.25">
      <c r="A24" s="113" t="s">
        <v>158</v>
      </c>
      <c r="B24" s="113">
        <v>15</v>
      </c>
      <c r="C24" s="113"/>
      <c r="D24" s="113"/>
      <c r="E24" s="113"/>
      <c r="F24" s="113"/>
      <c r="G24" s="113">
        <v>0</v>
      </c>
      <c r="H24" s="213"/>
      <c r="I24" s="258" t="s">
        <v>160</v>
      </c>
      <c r="J24" s="214">
        <v>15</v>
      </c>
      <c r="K24" s="215" t="s">
        <v>419</v>
      </c>
      <c r="L24" s="187" t="s">
        <v>159</v>
      </c>
      <c r="M24" s="216" t="s">
        <v>58</v>
      </c>
      <c r="N24" s="173"/>
      <c r="O24" s="217"/>
      <c r="P24" s="218"/>
      <c r="Q24" s="218"/>
      <c r="R24" s="219"/>
      <c r="S24" s="166">
        <v>45922</v>
      </c>
      <c r="T24" s="218">
        <v>45922</v>
      </c>
      <c r="U24" s="220">
        <v>1</v>
      </c>
      <c r="V24" s="214"/>
      <c r="W24" s="214"/>
      <c r="X24" s="219"/>
      <c r="Y24" s="221">
        <v>0</v>
      </c>
      <c r="Z24" s="222">
        <v>0</v>
      </c>
      <c r="AA24" s="218"/>
      <c r="AB24" s="218"/>
      <c r="AC24" s="219"/>
      <c r="AD24" s="217"/>
      <c r="AE24" s="217"/>
      <c r="AF24" s="217"/>
      <c r="AG24" s="215"/>
      <c r="AH24" s="214"/>
      <c r="AI24" s="214"/>
      <c r="AJ24" s="214"/>
      <c r="AK24" s="214"/>
      <c r="AL24" s="214"/>
      <c r="AM24" s="214"/>
      <c r="AN24" s="214"/>
      <c r="AO24" s="214"/>
      <c r="AP24" s="214"/>
      <c r="AQ24" s="214"/>
      <c r="AR24" s="214"/>
      <c r="AS24" s="214"/>
      <c r="AT24" s="214"/>
      <c r="AU24" s="214"/>
      <c r="AV24" s="214"/>
      <c r="AW24" s="214"/>
      <c r="AX24" s="214"/>
      <c r="AY24" s="214"/>
      <c r="AZ24" s="214"/>
      <c r="BA24" s="214"/>
      <c r="BB24" s="214"/>
      <c r="BC24" s="214"/>
      <c r="BD24" s="214"/>
      <c r="BE24" s="214"/>
      <c r="BF24" s="223"/>
      <c r="BG24" s="223"/>
      <c r="BH24" s="224"/>
      <c r="BI24" s="214"/>
      <c r="BJ24" s="225"/>
      <c r="BK24" s="225"/>
      <c r="BL24" s="225"/>
      <c r="BM24" s="225"/>
      <c r="BN24" s="225"/>
      <c r="BO24" s="225"/>
      <c r="BP24" s="225"/>
      <c r="BQ24" s="225"/>
      <c r="BR24" s="225"/>
      <c r="BS24" s="225"/>
      <c r="BT24" s="225"/>
      <c r="BU24" s="225"/>
      <c r="BV24" s="225"/>
      <c r="BW24" s="225"/>
      <c r="BX24" s="225"/>
      <c r="BY24" s="225"/>
      <c r="BZ24" s="225"/>
      <c r="CA24" s="225"/>
      <c r="CB24" s="225"/>
      <c r="CC24" s="225"/>
      <c r="CD24" s="225"/>
      <c r="CE24" s="225"/>
      <c r="CF24" s="225"/>
      <c r="CG24" s="225"/>
      <c r="CH24" s="225"/>
      <c r="CI24" s="225"/>
      <c r="CJ24" s="225"/>
      <c r="CK24" s="225"/>
      <c r="CL24" s="225"/>
      <c r="CM24" s="225"/>
      <c r="CN24" s="225"/>
      <c r="CO24" s="225"/>
      <c r="CP24" s="225"/>
      <c r="CQ24" s="225"/>
      <c r="CR24" s="225"/>
      <c r="CS24" s="239"/>
    </row>
    <row r="25" spans="1:97" x14ac:dyDescent="0.25">
      <c r="H25" s="188"/>
      <c r="I25" s="188"/>
      <c r="J25" s="189"/>
      <c r="K25" s="238" t="s">
        <v>396</v>
      </c>
      <c r="L25" s="190"/>
      <c r="M25" s="188"/>
      <c r="N25" s="173"/>
      <c r="O25" s="191"/>
      <c r="P25" s="191"/>
      <c r="Q25" s="191"/>
      <c r="R25" s="191"/>
      <c r="S25" s="191"/>
      <c r="T25" s="191"/>
      <c r="U25" s="191"/>
      <c r="V25" s="189"/>
      <c r="W25" s="189"/>
      <c r="X25" s="191"/>
      <c r="Y25" s="188"/>
      <c r="Z25" s="192"/>
      <c r="AA25" s="191"/>
      <c r="AB25" s="191"/>
      <c r="AC25" s="191"/>
      <c r="AD25" s="191"/>
      <c r="AE25" s="191"/>
      <c r="AF25" s="191"/>
      <c r="AG25" s="193"/>
      <c r="AH25" s="188"/>
      <c r="AI25" s="188"/>
      <c r="AJ25" s="188"/>
      <c r="AK25" s="188"/>
      <c r="AL25" s="188"/>
      <c r="AM25" s="188"/>
      <c r="AN25" s="188"/>
      <c r="AO25" s="188"/>
      <c r="AP25" s="188"/>
      <c r="AQ25" s="188"/>
      <c r="AR25" s="188"/>
      <c r="AS25" s="188"/>
      <c r="AT25" s="188"/>
      <c r="AU25" s="188"/>
      <c r="AV25" s="188"/>
      <c r="AW25" s="188"/>
      <c r="AX25" s="188"/>
      <c r="AY25" s="188"/>
      <c r="AZ25" s="188"/>
      <c r="BA25" s="188"/>
      <c r="BB25" s="188"/>
      <c r="BC25" s="188"/>
      <c r="BD25" s="188"/>
      <c r="BE25" s="188"/>
      <c r="BF25" s="194"/>
      <c r="BG25" s="194"/>
      <c r="BH25" s="194"/>
      <c r="BI25" s="188"/>
      <c r="BJ25" s="173"/>
      <c r="BK25" s="173"/>
      <c r="BL25" s="173"/>
      <c r="BM25" s="173"/>
      <c r="BN25" s="173"/>
      <c r="BO25" s="173"/>
      <c r="BP25" s="173"/>
      <c r="BQ25" s="173"/>
      <c r="BR25" s="173"/>
      <c r="BS25" s="173"/>
      <c r="BT25" s="173"/>
      <c r="BU25" s="173"/>
      <c r="BV25" s="173"/>
      <c r="BW25" s="173"/>
      <c r="BX25" s="173"/>
      <c r="BY25" s="173"/>
      <c r="BZ25" s="173"/>
      <c r="CA25" s="173"/>
      <c r="CB25" s="173"/>
      <c r="CC25" s="173"/>
      <c r="CD25" s="173"/>
      <c r="CE25" s="173"/>
      <c r="CF25" s="173"/>
      <c r="CG25" s="173"/>
      <c r="CH25" s="173"/>
      <c r="CI25" s="173"/>
      <c r="CJ25" s="173"/>
      <c r="CK25" s="173"/>
      <c r="CL25" s="173"/>
      <c r="CM25" s="173"/>
      <c r="CN25" s="173"/>
      <c r="CO25" s="173"/>
      <c r="CP25" s="173"/>
      <c r="CQ25" s="173"/>
      <c r="CR25" s="173"/>
    </row>
    <row r="26" spans="1:97" x14ac:dyDescent="0.25">
      <c r="H26" s="126"/>
      <c r="I26" s="126"/>
      <c r="J26" s="127"/>
      <c r="K26" s="127"/>
      <c r="L26" s="128"/>
      <c r="M26" s="126"/>
      <c r="N26" s="133"/>
      <c r="O26" s="129"/>
      <c r="P26" s="129"/>
      <c r="Q26" s="129"/>
      <c r="R26" s="129"/>
      <c r="S26" s="129"/>
      <c r="T26" s="129"/>
      <c r="U26" s="129"/>
      <c r="V26" s="127"/>
      <c r="W26" s="127"/>
      <c r="X26" s="129"/>
      <c r="Y26" s="126"/>
      <c r="Z26" s="130"/>
      <c r="AA26" s="129"/>
      <c r="AB26" s="129"/>
      <c r="AC26" s="129"/>
      <c r="AD26" s="129"/>
      <c r="AE26" s="129"/>
      <c r="AF26" s="129"/>
      <c r="AG26" s="131"/>
      <c r="AH26" s="126"/>
      <c r="AI26" s="126"/>
      <c r="AJ26" s="126"/>
      <c r="AK26" s="126"/>
      <c r="AL26" s="126"/>
      <c r="AM26" s="126"/>
      <c r="AN26" s="126"/>
      <c r="AO26" s="126"/>
      <c r="AP26" s="126"/>
      <c r="AQ26" s="126"/>
      <c r="AR26" s="126"/>
      <c r="AS26" s="126"/>
      <c r="AT26" s="126"/>
      <c r="AU26" s="126"/>
      <c r="AV26" s="126"/>
      <c r="AW26" s="126"/>
      <c r="AX26" s="126"/>
      <c r="AY26" s="126"/>
      <c r="AZ26" s="126"/>
      <c r="BA26" s="126"/>
      <c r="BB26" s="126"/>
      <c r="BC26" s="126"/>
      <c r="BD26" s="126"/>
      <c r="BE26" s="126"/>
      <c r="BF26" s="132"/>
      <c r="BG26" s="132"/>
      <c r="BH26" s="132"/>
      <c r="BI26" s="126"/>
      <c r="BJ26" s="133"/>
      <c r="BK26" s="133"/>
      <c r="BL26" s="133"/>
      <c r="BM26" s="133"/>
      <c r="BN26" s="133"/>
      <c r="BO26" s="133"/>
      <c r="BP26" s="133"/>
      <c r="BQ26" s="133"/>
      <c r="BR26" s="133"/>
      <c r="BS26" s="133"/>
      <c r="BT26" s="133"/>
      <c r="BU26" s="133"/>
      <c r="BV26" s="133"/>
      <c r="BW26" s="133"/>
      <c r="BX26" s="133"/>
      <c r="BY26" s="133"/>
      <c r="BZ26" s="133"/>
      <c r="CA26" s="133"/>
      <c r="CB26" s="133"/>
      <c r="CC26" s="133"/>
      <c r="CD26" s="133"/>
      <c r="CE26" s="133"/>
      <c r="CF26" s="133"/>
      <c r="CG26" s="133"/>
      <c r="CH26" s="133"/>
      <c r="CI26" s="133"/>
      <c r="CJ26" s="133"/>
      <c r="CK26" s="133"/>
      <c r="CL26" s="133"/>
      <c r="CM26" s="133"/>
      <c r="CN26" s="133"/>
      <c r="CO26" s="133"/>
      <c r="CP26" s="133"/>
      <c r="CQ26" s="133"/>
      <c r="CR26" s="133"/>
    </row>
    <row r="27" spans="1:97" x14ac:dyDescent="0.25">
      <c r="N27" s="150"/>
    </row>
    <row r="28" spans="1:97" x14ac:dyDescent="0.25">
      <c r="N28" s="150"/>
    </row>
    <row r="29" spans="1:97" x14ac:dyDescent="0.25">
      <c r="N29" s="150"/>
    </row>
    <row r="30" spans="1:97" x14ac:dyDescent="0.25">
      <c r="N30" s="150"/>
    </row>
    <row r="31" spans="1:97" x14ac:dyDescent="0.25">
      <c r="N31" s="150"/>
    </row>
    <row r="32" spans="1:97" x14ac:dyDescent="0.25">
      <c r="N32" s="150"/>
    </row>
    <row r="33" spans="14:14" x14ac:dyDescent="0.25">
      <c r="N33" s="150"/>
    </row>
    <row r="34" spans="14:14" x14ac:dyDescent="0.25">
      <c r="N34" s="150"/>
    </row>
    <row r="35" spans="14:14" x14ac:dyDescent="0.25">
      <c r="N35" s="150"/>
    </row>
    <row r="36" spans="14:14" x14ac:dyDescent="0.25">
      <c r="N36" s="150"/>
    </row>
    <row r="37" spans="14:14" x14ac:dyDescent="0.25">
      <c r="N37" s="150"/>
    </row>
    <row r="38" spans="14:14" x14ac:dyDescent="0.25">
      <c r="N38" s="150"/>
    </row>
    <row r="39" spans="14:14" x14ac:dyDescent="0.25">
      <c r="N39" s="150"/>
    </row>
    <row r="40" spans="14:14" x14ac:dyDescent="0.25">
      <c r="N40" s="150"/>
    </row>
    <row r="41" spans="14:14" x14ac:dyDescent="0.25">
      <c r="N41" s="150"/>
    </row>
    <row r="42" spans="14:14" x14ac:dyDescent="0.25">
      <c r="N42" s="150"/>
    </row>
    <row r="43" spans="14:14" x14ac:dyDescent="0.25">
      <c r="N43" s="150"/>
    </row>
    <row r="44" spans="14:14" x14ac:dyDescent="0.25">
      <c r="N44" s="150"/>
    </row>
  </sheetData>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1" id="{E4FB4095-9B6D-4B76-8E4F-17FE90EDED77}">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Y10:Y24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elp"/>
  <dimension ref="B2:VGB31"/>
  <sheetViews>
    <sheetView showGridLines="0" showRowColHeaders="0" zoomScaleNormal="100" workbookViewId="0">
      <selection activeCell="D5" sqref="D5"/>
    </sheetView>
  </sheetViews>
  <sheetFormatPr defaultColWidth="10.69921875" defaultRowHeight="13.8" x14ac:dyDescent="0.25"/>
  <cols>
    <col min="1" max="1" width="9.296875" customWidth="1"/>
    <col min="2" max="2" width="1" customWidth="1"/>
    <col min="3" max="3" width="6.296875" customWidth="1"/>
    <col min="4" max="4" width="1.296875" customWidth="1"/>
    <col min="5" max="18" width="9.296875" customWidth="1"/>
    <col min="19" max="19" width="8.296875" customWidth="1"/>
    <col min="20" max="21" width="9.296875" customWidth="1"/>
    <col min="22" max="22" width="2" customWidth="1"/>
    <col min="23" max="23" width="0.69921875" customWidth="1"/>
    <col min="24" max="61" width="9.296875" customWidth="1"/>
  </cols>
  <sheetData>
    <row r="2" spans="2:23 15055:15056" ht="5.25" customHeight="1" x14ac:dyDescent="0.25">
      <c r="B2" s="9"/>
      <c r="C2" s="9" t="s">
        <v>2</v>
      </c>
      <c r="D2" s="9"/>
      <c r="E2" s="9"/>
      <c r="F2" s="9"/>
      <c r="G2" s="9"/>
      <c r="H2" s="9"/>
      <c r="I2" s="9"/>
      <c r="J2" s="9"/>
      <c r="K2" s="9"/>
      <c r="L2" s="9"/>
      <c r="M2" s="9"/>
      <c r="N2" s="9"/>
      <c r="O2" s="9"/>
      <c r="P2" s="9"/>
      <c r="Q2" s="9"/>
      <c r="R2" s="9"/>
      <c r="S2" s="9"/>
      <c r="T2" s="9"/>
      <c r="U2" s="9"/>
      <c r="V2" s="9"/>
      <c r="W2" s="9"/>
    </row>
    <row r="3" spans="2:23 15055:15056" ht="15" customHeight="1" x14ac:dyDescent="0.25">
      <c r="B3" s="9"/>
      <c r="C3" s="1"/>
      <c r="D3" s="1"/>
      <c r="E3" s="1"/>
      <c r="F3" s="1"/>
      <c r="G3" s="1"/>
      <c r="H3" s="1"/>
      <c r="I3" s="1"/>
      <c r="J3" s="1"/>
      <c r="K3" s="1"/>
      <c r="L3" s="1"/>
      <c r="M3" s="1"/>
      <c r="N3" s="1"/>
      <c r="O3" s="1"/>
      <c r="P3" s="1"/>
      <c r="Q3" s="1"/>
      <c r="R3" s="1"/>
      <c r="S3" s="1"/>
      <c r="T3" s="1"/>
      <c r="U3" s="10"/>
      <c r="V3" s="11"/>
      <c r="W3" s="9"/>
      <c r="VGA3" s="12" t="s">
        <v>73</v>
      </c>
      <c r="VGB3" s="12" t="s">
        <v>74</v>
      </c>
    </row>
    <row r="4" spans="2:23 15055:15056" ht="15" customHeight="1" x14ac:dyDescent="0.25">
      <c r="B4" s="9"/>
      <c r="C4" s="1"/>
      <c r="D4" s="1"/>
      <c r="H4" s="186" t="s">
        <v>152</v>
      </c>
      <c r="I4" s="186"/>
      <c r="J4" s="186"/>
      <c r="K4" s="186"/>
      <c r="L4" s="186"/>
      <c r="M4" s="186"/>
      <c r="N4" s="186"/>
      <c r="O4" s="186"/>
      <c r="P4" s="186"/>
      <c r="Q4" s="186"/>
      <c r="R4" s="186"/>
      <c r="S4" s="186"/>
      <c r="T4" s="1"/>
      <c r="U4" s="1"/>
      <c r="V4" s="1"/>
      <c r="W4" s="9"/>
    </row>
    <row r="5" spans="2:23 15055:15056" ht="15" customHeight="1" x14ac:dyDescent="0.55000000000000004">
      <c r="B5" s="9"/>
      <c r="C5" s="1"/>
      <c r="D5" s="1" t="s">
        <v>345</v>
      </c>
      <c r="G5" s="23"/>
      <c r="H5" s="186"/>
      <c r="I5" s="186"/>
      <c r="J5" s="186"/>
      <c r="K5" s="186"/>
      <c r="L5" s="186"/>
      <c r="M5" s="186"/>
      <c r="N5" s="186"/>
      <c r="O5" s="186"/>
      <c r="P5" s="186"/>
      <c r="Q5" s="186"/>
      <c r="R5" s="186"/>
      <c r="S5" s="186"/>
      <c r="W5" s="9"/>
    </row>
    <row r="6" spans="2:23 15055:15056" ht="35.700000000000003" customHeight="1" x14ac:dyDescent="0.25">
      <c r="B6" s="9"/>
      <c r="C6" s="1"/>
      <c r="D6" s="1"/>
      <c r="K6" s="13"/>
      <c r="L6" s="13"/>
      <c r="M6" s="13"/>
      <c r="N6" s="13"/>
      <c r="O6" s="13"/>
      <c r="P6" s="13"/>
      <c r="Q6" s="1"/>
      <c r="R6" s="1"/>
      <c r="S6" s="14"/>
      <c r="T6" s="1"/>
      <c r="U6" s="1"/>
      <c r="V6" s="1"/>
      <c r="W6" s="9"/>
    </row>
    <row r="7" spans="2:23 15055:15056" ht="15" customHeight="1" x14ac:dyDescent="0.25">
      <c r="B7" s="9"/>
      <c r="C7" s="15" t="s">
        <v>344</v>
      </c>
      <c r="D7" s="1"/>
      <c r="K7" s="13"/>
      <c r="L7" s="13"/>
      <c r="M7" s="13"/>
      <c r="N7" s="13"/>
      <c r="O7" s="13"/>
      <c r="P7" s="13"/>
      <c r="Q7" s="1"/>
      <c r="R7" s="1"/>
      <c r="S7" s="14"/>
      <c r="T7" s="1"/>
      <c r="U7" s="1"/>
      <c r="V7" s="1"/>
      <c r="W7" s="9"/>
    </row>
    <row r="8" spans="2:23 15055:15056" ht="4.2" customHeight="1" x14ac:dyDescent="0.25">
      <c r="B8" s="9"/>
      <c r="C8" s="9"/>
      <c r="D8" s="9"/>
      <c r="E8" s="9"/>
      <c r="F8" s="9"/>
      <c r="G8" s="9"/>
      <c r="H8" s="9"/>
      <c r="I8" s="9"/>
      <c r="J8" s="9"/>
      <c r="K8" s="16"/>
      <c r="L8" s="16"/>
      <c r="M8" s="16"/>
      <c r="N8" s="16"/>
      <c r="O8" s="16"/>
      <c r="P8" s="16"/>
      <c r="Q8" s="9"/>
      <c r="R8" s="9"/>
      <c r="S8" s="17"/>
      <c r="T8" s="9"/>
      <c r="U8" s="9"/>
      <c r="V8" s="9"/>
      <c r="W8" s="9"/>
    </row>
    <row r="9" spans="2:23 15055:15056" ht="45.75" customHeight="1" x14ac:dyDescent="0.25">
      <c r="B9" s="9"/>
      <c r="G9" s="185" t="s">
        <v>1</v>
      </c>
      <c r="H9" s="185"/>
      <c r="I9" s="185"/>
      <c r="J9" s="185"/>
      <c r="K9" s="185"/>
      <c r="L9" s="185"/>
      <c r="M9" s="185"/>
      <c r="N9" s="185"/>
      <c r="O9" s="185"/>
      <c r="P9" s="185"/>
      <c r="Q9" s="185"/>
      <c r="R9" s="185"/>
      <c r="S9" s="185"/>
      <c r="W9" s="9"/>
    </row>
    <row r="10" spans="2:23 15055:15056" ht="15" customHeight="1" x14ac:dyDescent="0.3">
      <c r="B10" s="9"/>
      <c r="C10">
        <v>1</v>
      </c>
      <c r="D10" s="18">
        <v>1</v>
      </c>
      <c r="E10" s="19" t="s">
        <v>80</v>
      </c>
      <c r="F10" s="1"/>
      <c r="G10" s="185"/>
      <c r="H10" s="185"/>
      <c r="I10" s="185"/>
      <c r="J10" s="185"/>
      <c r="K10" s="185"/>
      <c r="L10" s="185"/>
      <c r="M10" s="185"/>
      <c r="N10" s="185"/>
      <c r="O10" s="185"/>
      <c r="P10" s="185"/>
      <c r="Q10" s="185"/>
      <c r="R10" s="185"/>
      <c r="S10" s="185"/>
      <c r="T10" s="20"/>
      <c r="U10" s="20"/>
      <c r="V10" s="20"/>
      <c r="W10" s="9"/>
    </row>
    <row r="11" spans="2:23 15055:15056" ht="15" customHeight="1" x14ac:dyDescent="0.25">
      <c r="B11" s="9"/>
      <c r="E11" s="183" t="s">
        <v>70</v>
      </c>
      <c r="F11" s="184"/>
      <c r="G11" s="184"/>
      <c r="H11" s="184"/>
      <c r="I11" s="184"/>
      <c r="W11" s="9"/>
    </row>
    <row r="12" spans="2:23 15055:15056" ht="15" customHeight="1" x14ac:dyDescent="0.25">
      <c r="B12" s="9"/>
      <c r="W12" s="9"/>
    </row>
    <row r="13" spans="2:23 15055:15056" ht="15" customHeight="1" x14ac:dyDescent="0.3">
      <c r="B13" s="9"/>
      <c r="C13">
        <v>2</v>
      </c>
      <c r="E13" s="19" t="s">
        <v>153</v>
      </c>
      <c r="W13" s="9"/>
    </row>
    <row r="14" spans="2:23 15055:15056" ht="15" customHeight="1" x14ac:dyDescent="0.25">
      <c r="B14" s="9"/>
      <c r="W14" s="9"/>
    </row>
    <row r="15" spans="2:23 15055:15056" ht="15" customHeight="1" x14ac:dyDescent="0.25">
      <c r="B15" s="9"/>
      <c r="W15" s="9"/>
    </row>
    <row r="16" spans="2:23 15055:15056" ht="15" customHeight="1" x14ac:dyDescent="0.25">
      <c r="B16" s="9"/>
      <c r="W16" s="9"/>
    </row>
    <row r="17" spans="2:23" ht="15" customHeight="1" x14ac:dyDescent="0.25">
      <c r="B17" s="9"/>
      <c r="W17" s="9"/>
    </row>
    <row r="18" spans="2:23" ht="15" customHeight="1" x14ac:dyDescent="0.25">
      <c r="B18" s="9"/>
      <c r="W18" s="9"/>
    </row>
    <row r="19" spans="2:23" ht="15" customHeight="1" x14ac:dyDescent="0.25">
      <c r="B19" s="9"/>
      <c r="W19" s="9"/>
    </row>
    <row r="20" spans="2:23" ht="15" customHeight="1" x14ac:dyDescent="0.25">
      <c r="B20" s="9"/>
      <c r="W20" s="9"/>
    </row>
    <row r="21" spans="2:23" ht="15" customHeight="1" x14ac:dyDescent="0.25">
      <c r="B21" s="9"/>
      <c r="W21" s="9"/>
    </row>
    <row r="22" spans="2:23" ht="15" customHeight="1" x14ac:dyDescent="0.25">
      <c r="B22" s="9"/>
      <c r="E22" s="183" t="s">
        <v>250</v>
      </c>
      <c r="F22" s="184"/>
      <c r="G22" s="184"/>
      <c r="H22" s="184"/>
      <c r="W22" s="9"/>
    </row>
    <row r="23" spans="2:23" ht="15" customHeight="1" x14ac:dyDescent="0.25">
      <c r="B23" s="9"/>
      <c r="E23" s="183" t="s">
        <v>0</v>
      </c>
      <c r="F23" s="184"/>
      <c r="G23" s="184"/>
      <c r="H23" s="184"/>
      <c r="W23" s="9"/>
    </row>
    <row r="24" spans="2:23" ht="15" customHeight="1" x14ac:dyDescent="0.25">
      <c r="B24" s="9"/>
      <c r="W24" s="9"/>
    </row>
    <row r="25" spans="2:23" ht="3.75" customHeight="1" x14ac:dyDescent="0.25">
      <c r="B25" s="9"/>
      <c r="C25" s="9"/>
      <c r="D25" s="9"/>
      <c r="E25" s="9"/>
      <c r="F25" s="9"/>
      <c r="G25" s="9"/>
      <c r="H25" s="9"/>
      <c r="I25" s="9"/>
      <c r="J25" s="9"/>
      <c r="K25" s="9"/>
      <c r="L25" s="9"/>
      <c r="M25" s="9"/>
      <c r="N25" s="9"/>
      <c r="O25" s="9"/>
      <c r="P25" s="9"/>
      <c r="Q25" s="9"/>
      <c r="R25" s="9"/>
      <c r="S25" s="9"/>
      <c r="T25" s="9"/>
      <c r="U25" s="9"/>
      <c r="V25" s="9"/>
      <c r="W25" s="9"/>
    </row>
    <row r="26" spans="2:23" ht="15" customHeight="1" x14ac:dyDescent="0.25"/>
    <row r="31" spans="2:23" ht="14.4" x14ac:dyDescent="0.3">
      <c r="H31" s="21"/>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CCFF1427-0D22-445F-8065-5AE5B106EC93}"/>
    <hyperlink ref="E22" r:id="rId2" tooltip="Quick Start Guide" xr:uid="{86385A74-BCBB-4C2A-A123-A2ED2446265A}"/>
    <hyperlink ref="E23" r:id="rId3" tooltip="Click Here For Documentation" xr:uid="{88B4C512-966C-4685-8EEC-89FF81521332}"/>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7EE73-89F3-4981-9138-36AB25713B4F}">
  <dimension ref="A1:T2"/>
  <sheetViews>
    <sheetView workbookViewId="0"/>
  </sheetViews>
  <sheetFormatPr defaultRowHeight="13.8" x14ac:dyDescent="0.25"/>
  <sheetData>
    <row r="1" spans="1:20" x14ac:dyDescent="0.25">
      <c r="A1" t="s">
        <v>216</v>
      </c>
      <c r="B1" t="s">
        <v>350</v>
      </c>
      <c r="C1" t="s">
        <v>351</v>
      </c>
      <c r="D1" t="s">
        <v>352</v>
      </c>
      <c r="K1" t="s">
        <v>353</v>
      </c>
      <c r="L1" t="s">
        <v>354</v>
      </c>
      <c r="M1" t="s">
        <v>355</v>
      </c>
      <c r="N1" t="s">
        <v>356</v>
      </c>
      <c r="O1" t="s">
        <v>357</v>
      </c>
      <c r="P1" t="s">
        <v>358</v>
      </c>
      <c r="Q1" t="s">
        <v>359</v>
      </c>
      <c r="R1" t="s">
        <v>360</v>
      </c>
      <c r="S1" t="s">
        <v>361</v>
      </c>
      <c r="T1" t="s">
        <v>362</v>
      </c>
    </row>
    <row r="2" spans="1:20" x14ac:dyDescent="0.25">
      <c r="A2" t="s">
        <v>363</v>
      </c>
      <c r="C2" t="b">
        <v>0</v>
      </c>
      <c r="E2" s="18" t="s">
        <v>364</v>
      </c>
      <c r="K2" s="112">
        <v>0.375</v>
      </c>
      <c r="L2" s="112">
        <v>0.75</v>
      </c>
      <c r="M2">
        <v>0</v>
      </c>
      <c r="N2">
        <v>1</v>
      </c>
      <c r="O2">
        <v>1</v>
      </c>
      <c r="P2">
        <v>1</v>
      </c>
      <c r="Q2">
        <v>1</v>
      </c>
      <c r="R2">
        <v>1</v>
      </c>
      <c r="S2">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0B7B4-D407-4AAB-9E7D-E2282C275242}">
  <dimension ref="A1:DC7"/>
  <sheetViews>
    <sheetView workbookViewId="0"/>
  </sheetViews>
  <sheetFormatPr defaultRowHeight="13.8" x14ac:dyDescent="0.25"/>
  <sheetData>
    <row r="1" spans="1:107" x14ac:dyDescent="0.25">
      <c r="A1" s="53" t="s">
        <v>128</v>
      </c>
      <c r="B1" s="53"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241</v>
      </c>
      <c r="V1" t="s">
        <v>242</v>
      </c>
      <c r="W1" t="s">
        <v>243</v>
      </c>
      <c r="X1" t="s">
        <v>244</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3" t="s">
        <v>81</v>
      </c>
      <c r="AP1" s="53" t="s">
        <v>82</v>
      </c>
      <c r="AQ1" s="53" t="s">
        <v>83</v>
      </c>
      <c r="AR1" s="53" t="s">
        <v>84</v>
      </c>
      <c r="AS1" s="53" t="s">
        <v>90</v>
      </c>
      <c r="AT1" s="53" t="s">
        <v>146</v>
      </c>
      <c r="AU1" s="53" t="s">
        <v>85</v>
      </c>
      <c r="AV1" s="53" t="s">
        <v>86</v>
      </c>
      <c r="AW1" s="53" t="s">
        <v>87</v>
      </c>
      <c r="AX1" s="53" t="s">
        <v>98</v>
      </c>
      <c r="AY1" s="53" t="s">
        <v>88</v>
      </c>
      <c r="AZ1" s="53" t="s">
        <v>89</v>
      </c>
      <c r="BA1" s="53" t="s">
        <v>116</v>
      </c>
      <c r="BB1" s="53" t="s">
        <v>147</v>
      </c>
      <c r="BC1" s="53" t="s">
        <v>91</v>
      </c>
      <c r="BD1" s="53" t="s">
        <v>92</v>
      </c>
      <c r="BE1" s="53" t="s">
        <v>93</v>
      </c>
      <c r="BF1" s="53" t="s">
        <v>121</v>
      </c>
      <c r="BG1" s="53" t="s">
        <v>122</v>
      </c>
      <c r="BH1" s="53" t="s">
        <v>94</v>
      </c>
      <c r="BI1" s="53" t="s">
        <v>114</v>
      </c>
      <c r="BJ1" s="53" t="s">
        <v>95</v>
      </c>
      <c r="BK1" s="53" t="s">
        <v>96</v>
      </c>
      <c r="BL1" s="53" t="s">
        <v>97</v>
      </c>
      <c r="BM1" s="53" t="s">
        <v>132</v>
      </c>
      <c r="BN1" s="53" t="s">
        <v>135</v>
      </c>
      <c r="BO1" s="53" t="s">
        <v>136</v>
      </c>
      <c r="BP1" s="53" t="s">
        <v>137</v>
      </c>
      <c r="BQ1" s="53" t="s">
        <v>138</v>
      </c>
      <c r="BR1" s="53" t="s">
        <v>139</v>
      </c>
      <c r="BS1" s="53" t="s">
        <v>140</v>
      </c>
      <c r="BT1" s="53"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245</v>
      </c>
      <c r="CY1" t="s">
        <v>246</v>
      </c>
      <c r="CZ1" t="s">
        <v>229</v>
      </c>
      <c r="DA1" t="s">
        <v>240</v>
      </c>
      <c r="DB1" t="s">
        <v>249</v>
      </c>
      <c r="DC1" t="s">
        <v>314</v>
      </c>
    </row>
    <row r="2" spans="1:107" x14ac:dyDescent="0.25">
      <c r="A2" t="s">
        <v>113</v>
      </c>
      <c r="B2">
        <v>1</v>
      </c>
      <c r="C2" t="s">
        <v>28</v>
      </c>
      <c r="D2" t="s">
        <v>63</v>
      </c>
      <c r="E2" t="b">
        <v>1</v>
      </c>
      <c r="F2" s="2" t="s">
        <v>8</v>
      </c>
      <c r="G2" s="54">
        <v>0</v>
      </c>
      <c r="H2" s="54">
        <v>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1</v>
      </c>
      <c r="AF2">
        <v>20</v>
      </c>
      <c r="AG2" t="s">
        <v>123</v>
      </c>
      <c r="AH2" t="s">
        <v>26</v>
      </c>
      <c r="AI2" t="b">
        <v>0</v>
      </c>
      <c r="AJ2" t="b">
        <v>0</v>
      </c>
      <c r="AK2" t="b">
        <v>0</v>
      </c>
      <c r="AL2" t="s">
        <v>68</v>
      </c>
      <c r="AM2" t="s">
        <v>69</v>
      </c>
      <c r="AO2" t="s">
        <v>77</v>
      </c>
      <c r="AP2" t="s">
        <v>76</v>
      </c>
      <c r="AQ2" s="55"/>
      <c r="AR2" s="56"/>
      <c r="AS2" s="57"/>
      <c r="AT2" s="57"/>
      <c r="AU2" s="58"/>
      <c r="AV2" s="9"/>
      <c r="AW2" s="59"/>
      <c r="AX2" s="60"/>
      <c r="AY2" s="61"/>
      <c r="AZ2" s="62"/>
      <c r="BA2" s="62"/>
      <c r="BB2" s="61"/>
      <c r="BC2" s="63"/>
      <c r="BD2" s="64"/>
      <c r="BE2" s="65"/>
      <c r="BF2" s="66"/>
      <c r="BG2" s="65"/>
      <c r="BH2" s="67"/>
      <c r="BI2" s="1"/>
      <c r="BJ2" s="68"/>
      <c r="BK2" s="63"/>
      <c r="BL2" s="69"/>
      <c r="BM2" s="70"/>
      <c r="BN2" s="59"/>
      <c r="BO2" s="71"/>
      <c r="BP2" s="72"/>
      <c r="BQ2" s="73"/>
      <c r="BR2" s="74"/>
      <c r="BS2" s="67"/>
      <c r="BT2">
        <v>480</v>
      </c>
      <c r="BU2" s="75">
        <v>34</v>
      </c>
      <c r="BV2">
        <v>4</v>
      </c>
      <c r="BW2">
        <v>1</v>
      </c>
      <c r="BX2">
        <v>1</v>
      </c>
      <c r="BY2">
        <v>1</v>
      </c>
      <c r="BZ2">
        <v>1</v>
      </c>
      <c r="CA2">
        <v>3</v>
      </c>
      <c r="CB2">
        <v>3</v>
      </c>
      <c r="CC2">
        <v>6</v>
      </c>
      <c r="CD2">
        <v>8</v>
      </c>
      <c r="CE2">
        <v>10</v>
      </c>
      <c r="CF2">
        <v>12</v>
      </c>
      <c r="CG2">
        <v>15</v>
      </c>
      <c r="CH2" t="b">
        <v>1</v>
      </c>
      <c r="CI2" s="2" t="b">
        <v>1</v>
      </c>
      <c r="CJ2" s="76">
        <v>45950</v>
      </c>
      <c r="CK2" s="76">
        <v>45984</v>
      </c>
      <c r="CL2" t="s">
        <v>395</v>
      </c>
      <c r="CM2" t="b">
        <v>1</v>
      </c>
      <c r="CN2" t="b">
        <v>1</v>
      </c>
      <c r="CO2" t="b">
        <v>1</v>
      </c>
      <c r="CP2" t="b">
        <v>1</v>
      </c>
      <c r="CQ2" t="b">
        <v>1</v>
      </c>
      <c r="CR2">
        <v>2000</v>
      </c>
      <c r="CS2">
        <v>2050</v>
      </c>
      <c r="CT2" s="22">
        <v>36526</v>
      </c>
      <c r="CU2" s="22">
        <v>54789</v>
      </c>
      <c r="CV2" s="22">
        <v>45764</v>
      </c>
      <c r="CW2" t="b">
        <v>0</v>
      </c>
      <c r="CX2" t="b">
        <v>0</v>
      </c>
      <c r="CY2" t="b">
        <v>0</v>
      </c>
      <c r="CZ2" t="b">
        <v>1</v>
      </c>
      <c r="DA2" t="b">
        <v>1</v>
      </c>
      <c r="DB2" t="s">
        <v>348</v>
      </c>
      <c r="DC2" t="b">
        <v>0</v>
      </c>
    </row>
    <row r="3" spans="1:107" x14ac:dyDescent="0.25">
      <c r="AO3" t="s">
        <v>76</v>
      </c>
      <c r="AQ3" s="55"/>
      <c r="AR3" s="77"/>
      <c r="AS3" s="57"/>
      <c r="AT3" s="108"/>
      <c r="AU3" s="58"/>
      <c r="AV3" s="9"/>
      <c r="AW3" s="59"/>
      <c r="AX3" s="78"/>
      <c r="AY3" s="64"/>
      <c r="AZ3" s="62"/>
      <c r="BA3" s="62"/>
      <c r="BB3" s="109"/>
      <c r="BC3" s="79"/>
      <c r="BD3" s="64"/>
      <c r="BE3" s="65"/>
      <c r="BF3" s="66"/>
      <c r="BG3" s="65"/>
      <c r="BH3" s="80"/>
      <c r="BI3" s="79"/>
      <c r="BJ3" s="1"/>
      <c r="BK3" s="79"/>
      <c r="BL3" s="81"/>
      <c r="BM3" s="82"/>
      <c r="BN3" s="59"/>
      <c r="BO3" s="71"/>
      <c r="BP3" s="72"/>
      <c r="BQ3" s="73"/>
      <c r="BR3" s="74"/>
      <c r="BS3" s="67"/>
    </row>
    <row r="4" spans="1:107" x14ac:dyDescent="0.25">
      <c r="AO4" t="s">
        <v>78</v>
      </c>
      <c r="AQ4" s="80"/>
      <c r="AR4" s="73"/>
      <c r="AS4" s="83"/>
      <c r="AT4" s="83"/>
      <c r="AU4" s="84"/>
      <c r="AV4" s="77"/>
      <c r="AW4" s="59"/>
      <c r="AX4" s="85"/>
      <c r="AY4" s="86"/>
      <c r="AZ4" s="87"/>
      <c r="BA4" s="87"/>
      <c r="BB4" s="83"/>
      <c r="BC4" s="80"/>
      <c r="BD4" s="64"/>
      <c r="BE4" s="65"/>
      <c r="BF4" s="66"/>
      <c r="BG4" s="65"/>
      <c r="BH4" s="88"/>
      <c r="BI4" s="89"/>
      <c r="BL4" s="81"/>
      <c r="BM4" s="90"/>
      <c r="BN4" s="59"/>
      <c r="BO4" s="71"/>
      <c r="BP4" s="72"/>
      <c r="BQ4" s="73"/>
      <c r="BR4" s="74"/>
      <c r="BS4" s="67"/>
    </row>
    <row r="5" spans="1:107" x14ac:dyDescent="0.25">
      <c r="AO5" t="s">
        <v>75</v>
      </c>
      <c r="AQ5" s="91"/>
      <c r="AR5" s="92"/>
      <c r="AS5" s="93"/>
      <c r="AT5" s="93"/>
      <c r="AU5" s="94"/>
      <c r="AV5" s="95"/>
      <c r="AW5" s="59"/>
      <c r="AX5" s="78"/>
      <c r="AY5" s="96"/>
      <c r="AZ5" s="97"/>
      <c r="BA5" s="97"/>
      <c r="BB5" s="81"/>
      <c r="BC5" s="98"/>
      <c r="BD5" s="64"/>
      <c r="BE5" s="65"/>
      <c r="BF5" s="66"/>
      <c r="BG5" s="65"/>
      <c r="BH5" s="99"/>
      <c r="BI5" s="100"/>
      <c r="BJ5" s="90"/>
      <c r="BK5" s="1"/>
      <c r="BL5" s="81"/>
      <c r="BM5" s="90"/>
      <c r="BN5" s="59"/>
      <c r="BO5" s="71"/>
      <c r="BP5" s="72"/>
      <c r="BQ5" s="73"/>
      <c r="BR5" s="74"/>
      <c r="BS5" s="67"/>
    </row>
    <row r="6" spans="1:107" x14ac:dyDescent="0.25">
      <c r="AO6" t="s">
        <v>79</v>
      </c>
      <c r="AQ6" s="55"/>
      <c r="AR6" s="77"/>
      <c r="AS6" s="57"/>
      <c r="AT6" s="108"/>
      <c r="AU6" s="58"/>
      <c r="AV6" s="9"/>
      <c r="AW6" s="59"/>
      <c r="AX6" s="78"/>
      <c r="AY6" s="64"/>
      <c r="AZ6" s="62"/>
      <c r="BA6" s="62"/>
      <c r="BB6" s="109"/>
      <c r="BC6" s="79"/>
      <c r="BD6" s="64"/>
      <c r="BE6" s="65"/>
      <c r="BF6" s="66"/>
      <c r="BG6" s="65"/>
      <c r="BH6" s="80"/>
      <c r="BI6" s="79"/>
      <c r="BJ6" s="1"/>
      <c r="BK6" s="79"/>
      <c r="BL6" s="81"/>
      <c r="BM6" s="82"/>
      <c r="BN6" s="59"/>
      <c r="BO6" s="71"/>
      <c r="BP6" s="72"/>
      <c r="BQ6" s="73"/>
      <c r="BR6" s="74"/>
      <c r="BS6" s="67"/>
    </row>
    <row r="7" spans="1:107" x14ac:dyDescent="0.25">
      <c r="AQ7" s="55"/>
      <c r="AR7" s="77"/>
      <c r="AS7" s="57"/>
      <c r="AT7" s="108"/>
      <c r="AU7" s="58"/>
      <c r="AV7" s="9"/>
      <c r="AW7" s="59"/>
      <c r="AX7" s="78"/>
      <c r="AY7" s="64"/>
      <c r="AZ7" s="62"/>
      <c r="BA7" s="62"/>
      <c r="BB7" s="109"/>
      <c r="BC7" s="79"/>
      <c r="BD7" s="64"/>
      <c r="BE7" s="65"/>
      <c r="BF7" s="66"/>
      <c r="BG7" s="65"/>
      <c r="BH7" s="80"/>
      <c r="BI7" s="79"/>
      <c r="BJ7" s="1"/>
      <c r="BK7" s="79"/>
      <c r="BL7" s="81"/>
      <c r="BM7" s="82"/>
      <c r="BN7" s="59"/>
      <c r="BO7" s="71"/>
      <c r="BP7" s="72"/>
      <c r="BQ7" s="73"/>
      <c r="BR7" s="74"/>
      <c r="BS7" s="67"/>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Trang tính</vt:lpstr>
      </vt:variant>
      <vt:variant>
        <vt:i4>2</vt:i4>
      </vt:variant>
      <vt:variant>
        <vt:lpstr>Phạm vi Có tên</vt:lpstr>
      </vt:variant>
      <vt:variant>
        <vt:i4>2</vt:i4>
      </vt:variant>
    </vt:vector>
  </HeadingPairs>
  <TitlesOfParts>
    <vt:vector size="4" baseType="lpstr">
      <vt:lpstr>Project Plan</vt:lpstr>
      <vt:lpstr>Help</vt:lpstr>
      <vt:lpstr>GanttDashboardTemplate!Print_Titles</vt:lpstr>
      <vt:lpstr>GanttDashboardTemplate!Vùng_In</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Nguyên Dương</cp:lastModifiedBy>
  <cp:revision>0</cp:revision>
  <cp:lastPrinted>2022-02-09T18:07:13Z</cp:lastPrinted>
  <dcterms:created xsi:type="dcterms:W3CDTF">2016-09-10T13:03:48Z</dcterms:created>
  <dcterms:modified xsi:type="dcterms:W3CDTF">2025-10-20T10:12:51Z</dcterms:modified>
  <cp:category>Excel Template</cp:category>
  <cp:version>3.0</cp:version>
</cp:coreProperties>
</file>